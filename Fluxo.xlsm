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Indicador\FOOTPRINT\"/>
    </mc:Choice>
  </mc:AlternateContent>
  <xr:revisionPtr revIDLastSave="0" documentId="13_ncr:1_{EAAB684C-BE46-4D98-A8F4-C16BEBF259BC}" xr6:coauthVersionLast="47" xr6:coauthVersionMax="47" xr10:uidLastSave="{00000000-0000-0000-0000-000000000000}"/>
  <bookViews>
    <workbookView xWindow="-120" yWindow="-120" windowWidth="20730" windowHeight="11760" xr2:uid="{FBEDCDFC-DFFC-467B-B42F-D5DB61730DB4}"/>
  </bookViews>
  <sheets>
    <sheet name="Dados_RTD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" i="1" l="1"/>
  <c r="B2" i="1"/>
  <c r="C2" i="1"/>
  <c r="E2" i="1"/>
  <c r="F2" i="1"/>
  <c r="G2" i="1"/>
  <c r="H2" i="1"/>
  <c r="I2" i="1"/>
  <c r="J2" i="1"/>
  <c r="K2" i="1"/>
  <c r="A6" i="1"/>
  <c r="B6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C51" i="1"/>
  <c r="D51" i="1"/>
  <c r="A52" i="1"/>
  <c r="B52" i="1"/>
  <c r="C52" i="1"/>
  <c r="D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B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B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B223" i="1"/>
  <c r="C223" i="1"/>
  <c r="D223" i="1"/>
  <c r="A224" i="1"/>
  <c r="B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A278" i="1"/>
  <c r="B278" i="1"/>
  <c r="C278" i="1"/>
  <c r="D278" i="1"/>
  <c r="A279" i="1"/>
  <c r="B279" i="1"/>
  <c r="C279" i="1"/>
  <c r="D279" i="1"/>
  <c r="A280" i="1"/>
  <c r="B280" i="1"/>
  <c r="C280" i="1"/>
  <c r="D280" i="1"/>
  <c r="A281" i="1"/>
  <c r="B281" i="1"/>
  <c r="C281" i="1"/>
  <c r="D281" i="1"/>
  <c r="A282" i="1"/>
  <c r="B282" i="1"/>
  <c r="C282" i="1"/>
  <c r="D282" i="1"/>
  <c r="A283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C367" i="1"/>
  <c r="D367" i="1"/>
  <c r="A368" i="1"/>
  <c r="B368" i="1"/>
  <c r="C368" i="1"/>
  <c r="D368" i="1"/>
  <c r="A369" i="1"/>
  <c r="B369" i="1"/>
  <c r="C369" i="1"/>
  <c r="D369" i="1"/>
  <c r="A370" i="1"/>
  <c r="B370" i="1"/>
  <c r="C370" i="1"/>
  <c r="D370" i="1"/>
  <c r="A371" i="1"/>
  <c r="B371" i="1"/>
  <c r="C371" i="1"/>
  <c r="D371" i="1"/>
  <c r="A372" i="1"/>
  <c r="B372" i="1"/>
  <c r="C372" i="1"/>
  <c r="D372" i="1"/>
  <c r="A373" i="1"/>
  <c r="B373" i="1"/>
  <c r="C373" i="1"/>
  <c r="D373" i="1"/>
  <c r="A374" i="1"/>
  <c r="B374" i="1"/>
  <c r="C374" i="1"/>
  <c r="D374" i="1"/>
  <c r="A375" i="1"/>
  <c r="B375" i="1"/>
  <c r="C375" i="1"/>
  <c r="D375" i="1"/>
  <c r="A376" i="1"/>
  <c r="B376" i="1"/>
  <c r="C376" i="1"/>
  <c r="D376" i="1"/>
  <c r="A377" i="1"/>
  <c r="B377" i="1"/>
  <c r="C377" i="1"/>
  <c r="D377" i="1"/>
  <c r="A378" i="1"/>
  <c r="B378" i="1"/>
  <c r="C378" i="1"/>
  <c r="D378" i="1"/>
  <c r="A379" i="1"/>
  <c r="B379" i="1"/>
  <c r="C379" i="1"/>
  <c r="D379" i="1"/>
  <c r="A380" i="1"/>
  <c r="B380" i="1"/>
  <c r="C380" i="1"/>
  <c r="D380" i="1"/>
  <c r="A381" i="1"/>
  <c r="B381" i="1"/>
  <c r="C381" i="1"/>
  <c r="D381" i="1"/>
  <c r="A382" i="1"/>
  <c r="B382" i="1"/>
  <c r="C382" i="1"/>
  <c r="D382" i="1"/>
  <c r="A383" i="1"/>
  <c r="B383" i="1"/>
  <c r="C383" i="1"/>
  <c r="D383" i="1"/>
  <c r="A384" i="1"/>
  <c r="B384" i="1"/>
  <c r="C384" i="1"/>
  <c r="D384" i="1"/>
  <c r="A385" i="1"/>
  <c r="B385" i="1"/>
  <c r="C385" i="1"/>
  <c r="D385" i="1"/>
  <c r="A386" i="1"/>
  <c r="B386" i="1"/>
  <c r="C386" i="1"/>
  <c r="D386" i="1"/>
  <c r="A387" i="1"/>
  <c r="B387" i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C393" i="1"/>
  <c r="D393" i="1"/>
  <c r="A394" i="1"/>
  <c r="B394" i="1"/>
  <c r="C394" i="1"/>
  <c r="D394" i="1"/>
  <c r="A395" i="1"/>
  <c r="B395" i="1"/>
  <c r="C395" i="1"/>
  <c r="D395" i="1"/>
  <c r="A396" i="1"/>
  <c r="B396" i="1"/>
  <c r="C396" i="1"/>
  <c r="D396" i="1"/>
  <c r="A397" i="1"/>
  <c r="B397" i="1"/>
  <c r="C397" i="1"/>
  <c r="D397" i="1"/>
  <c r="A398" i="1"/>
  <c r="B398" i="1"/>
  <c r="C398" i="1"/>
  <c r="D398" i="1"/>
  <c r="A399" i="1"/>
  <c r="B399" i="1"/>
  <c r="C399" i="1"/>
  <c r="D399" i="1"/>
  <c r="A400" i="1"/>
  <c r="B400" i="1"/>
  <c r="C400" i="1"/>
  <c r="D400" i="1"/>
  <c r="A401" i="1"/>
  <c r="B401" i="1"/>
  <c r="C401" i="1"/>
  <c r="D401" i="1"/>
  <c r="A402" i="1"/>
  <c r="B402" i="1"/>
  <c r="C402" i="1"/>
  <c r="D402" i="1"/>
  <c r="A403" i="1"/>
  <c r="B403" i="1"/>
  <c r="C403" i="1"/>
  <c r="D403" i="1"/>
  <c r="A404" i="1"/>
  <c r="B404" i="1"/>
  <c r="C404" i="1"/>
  <c r="D404" i="1"/>
  <c r="A405" i="1"/>
  <c r="B405" i="1"/>
  <c r="C405" i="1"/>
  <c r="D405" i="1"/>
  <c r="A406" i="1"/>
  <c r="B406" i="1"/>
  <c r="C406" i="1"/>
  <c r="D406" i="1"/>
  <c r="A407" i="1"/>
  <c r="B407" i="1"/>
  <c r="C407" i="1"/>
  <c r="D407" i="1"/>
  <c r="A408" i="1"/>
  <c r="B408" i="1"/>
  <c r="C408" i="1"/>
  <c r="D408" i="1"/>
  <c r="A409" i="1"/>
  <c r="B409" i="1"/>
  <c r="C409" i="1"/>
  <c r="D409" i="1"/>
  <c r="A410" i="1"/>
  <c r="B410" i="1"/>
  <c r="C410" i="1"/>
  <c r="D410" i="1"/>
  <c r="A411" i="1"/>
  <c r="B411" i="1"/>
  <c r="C411" i="1"/>
  <c r="D411" i="1"/>
  <c r="A412" i="1"/>
  <c r="B412" i="1"/>
  <c r="C412" i="1"/>
  <c r="D412" i="1"/>
  <c r="A413" i="1"/>
  <c r="B413" i="1"/>
  <c r="C413" i="1"/>
  <c r="D413" i="1"/>
  <c r="A414" i="1"/>
  <c r="B414" i="1"/>
  <c r="C414" i="1"/>
  <c r="D414" i="1"/>
  <c r="A415" i="1"/>
  <c r="B415" i="1"/>
  <c r="C415" i="1"/>
  <c r="D415" i="1"/>
  <c r="A416" i="1"/>
  <c r="B416" i="1"/>
  <c r="C416" i="1"/>
  <c r="D416" i="1"/>
  <c r="A417" i="1"/>
  <c r="B417" i="1"/>
  <c r="C417" i="1"/>
  <c r="D417" i="1"/>
  <c r="A418" i="1"/>
  <c r="B418" i="1"/>
  <c r="C418" i="1"/>
  <c r="D418" i="1"/>
  <c r="A419" i="1"/>
  <c r="B419" i="1"/>
  <c r="C419" i="1"/>
  <c r="D419" i="1"/>
  <c r="A420" i="1"/>
  <c r="B420" i="1"/>
  <c r="C420" i="1"/>
  <c r="D420" i="1"/>
  <c r="A421" i="1"/>
  <c r="B421" i="1"/>
  <c r="C421" i="1"/>
  <c r="D421" i="1"/>
  <c r="A422" i="1"/>
  <c r="B422" i="1"/>
  <c r="C422" i="1"/>
  <c r="D422" i="1"/>
  <c r="A423" i="1"/>
  <c r="B423" i="1"/>
  <c r="C423" i="1"/>
  <c r="D423" i="1"/>
  <c r="A424" i="1"/>
  <c r="B424" i="1"/>
  <c r="C424" i="1"/>
  <c r="D424" i="1"/>
  <c r="A425" i="1"/>
  <c r="B425" i="1"/>
  <c r="C425" i="1"/>
  <c r="D425" i="1"/>
  <c r="A426" i="1"/>
  <c r="B426" i="1"/>
  <c r="C426" i="1"/>
  <c r="D426" i="1"/>
  <c r="A427" i="1"/>
  <c r="B427" i="1"/>
  <c r="C427" i="1"/>
  <c r="D427" i="1"/>
  <c r="A428" i="1"/>
  <c r="B428" i="1"/>
  <c r="C428" i="1"/>
  <c r="D428" i="1"/>
  <c r="A429" i="1"/>
  <c r="B429" i="1"/>
  <c r="C429" i="1"/>
  <c r="D429" i="1"/>
  <c r="A430" i="1"/>
  <c r="B430" i="1"/>
  <c r="C430" i="1"/>
  <c r="D430" i="1"/>
  <c r="A431" i="1"/>
  <c r="B431" i="1"/>
  <c r="C431" i="1"/>
  <c r="D431" i="1"/>
  <c r="A432" i="1"/>
  <c r="B432" i="1"/>
  <c r="C432" i="1"/>
  <c r="D432" i="1"/>
  <c r="A433" i="1"/>
  <c r="B433" i="1"/>
  <c r="C433" i="1"/>
  <c r="D433" i="1"/>
  <c r="A434" i="1"/>
  <c r="B434" i="1"/>
  <c r="C434" i="1"/>
  <c r="D434" i="1"/>
  <c r="A435" i="1"/>
  <c r="B435" i="1"/>
  <c r="C435" i="1"/>
  <c r="D435" i="1"/>
  <c r="A436" i="1"/>
  <c r="B436" i="1"/>
  <c r="C436" i="1"/>
  <c r="D436" i="1"/>
  <c r="A437" i="1"/>
  <c r="B437" i="1"/>
  <c r="C437" i="1"/>
  <c r="D437" i="1"/>
  <c r="A438" i="1"/>
  <c r="B438" i="1"/>
  <c r="C438" i="1"/>
  <c r="D438" i="1"/>
  <c r="A439" i="1"/>
  <c r="B439" i="1"/>
  <c r="C439" i="1"/>
  <c r="D439" i="1"/>
  <c r="A440" i="1"/>
  <c r="B440" i="1"/>
  <c r="C440" i="1"/>
  <c r="D440" i="1"/>
  <c r="A441" i="1"/>
  <c r="B441" i="1"/>
  <c r="C441" i="1"/>
  <c r="D441" i="1"/>
  <c r="A442" i="1"/>
  <c r="B442" i="1"/>
  <c r="C442" i="1"/>
  <c r="D442" i="1"/>
  <c r="A443" i="1"/>
  <c r="B443" i="1"/>
  <c r="C443" i="1"/>
  <c r="D443" i="1"/>
  <c r="A444" i="1"/>
  <c r="B444" i="1"/>
  <c r="C444" i="1"/>
  <c r="D444" i="1"/>
  <c r="A445" i="1"/>
  <c r="B445" i="1"/>
  <c r="C445" i="1"/>
  <c r="D445" i="1"/>
  <c r="A446" i="1"/>
  <c r="B446" i="1"/>
  <c r="C446" i="1"/>
  <c r="D446" i="1"/>
  <c r="A447" i="1"/>
  <c r="B447" i="1"/>
  <c r="C447" i="1"/>
  <c r="D447" i="1"/>
  <c r="A448" i="1"/>
  <c r="B448" i="1"/>
  <c r="C448" i="1"/>
  <c r="D448" i="1"/>
  <c r="A449" i="1"/>
  <c r="B449" i="1"/>
  <c r="C449" i="1"/>
  <c r="D449" i="1"/>
  <c r="A450" i="1"/>
  <c r="B450" i="1"/>
  <c r="C450" i="1"/>
  <c r="D450" i="1"/>
  <c r="A451" i="1"/>
  <c r="B451" i="1"/>
  <c r="C451" i="1"/>
  <c r="D451" i="1"/>
  <c r="A452" i="1"/>
  <c r="B452" i="1"/>
  <c r="C452" i="1"/>
  <c r="D452" i="1"/>
  <c r="A453" i="1"/>
  <c r="B453" i="1"/>
  <c r="C453" i="1"/>
  <c r="D453" i="1"/>
  <c r="A454" i="1"/>
  <c r="B454" i="1"/>
  <c r="C454" i="1"/>
  <c r="D454" i="1"/>
  <c r="A455" i="1"/>
  <c r="B455" i="1"/>
  <c r="C455" i="1"/>
  <c r="D455" i="1"/>
  <c r="A456" i="1"/>
  <c r="B456" i="1"/>
  <c r="C456" i="1"/>
  <c r="D456" i="1"/>
  <c r="A457" i="1"/>
  <c r="B457" i="1"/>
  <c r="C457" i="1"/>
  <c r="D457" i="1"/>
  <c r="A458" i="1"/>
  <c r="B458" i="1"/>
  <c r="C458" i="1"/>
  <c r="D458" i="1"/>
  <c r="A459" i="1"/>
  <c r="B459" i="1"/>
  <c r="C459" i="1"/>
  <c r="D459" i="1"/>
  <c r="A460" i="1"/>
  <c r="B460" i="1"/>
  <c r="C460" i="1"/>
  <c r="D460" i="1"/>
  <c r="A461" i="1"/>
  <c r="B461" i="1"/>
  <c r="C461" i="1"/>
  <c r="D461" i="1"/>
  <c r="A462" i="1"/>
  <c r="B462" i="1"/>
  <c r="C462" i="1"/>
  <c r="D462" i="1"/>
  <c r="A463" i="1"/>
  <c r="B463" i="1"/>
  <c r="C463" i="1"/>
  <c r="D463" i="1"/>
  <c r="A464" i="1"/>
  <c r="B464" i="1"/>
  <c r="C464" i="1"/>
  <c r="D464" i="1"/>
  <c r="A465" i="1"/>
  <c r="B465" i="1"/>
  <c r="C465" i="1"/>
  <c r="D465" i="1"/>
  <c r="A466" i="1"/>
  <c r="B466" i="1"/>
  <c r="C466" i="1"/>
  <c r="D466" i="1"/>
  <c r="A467" i="1"/>
  <c r="B467" i="1"/>
  <c r="C467" i="1"/>
  <c r="D467" i="1"/>
  <c r="A468" i="1"/>
  <c r="B468" i="1"/>
  <c r="C468" i="1"/>
  <c r="D468" i="1"/>
  <c r="A469" i="1"/>
  <c r="B469" i="1"/>
  <c r="C469" i="1"/>
  <c r="D469" i="1"/>
  <c r="A470" i="1"/>
  <c r="B470" i="1"/>
  <c r="C470" i="1"/>
  <c r="D470" i="1"/>
  <c r="A471" i="1"/>
  <c r="B471" i="1"/>
  <c r="C471" i="1"/>
  <c r="D471" i="1"/>
  <c r="A472" i="1"/>
  <c r="B472" i="1"/>
  <c r="C472" i="1"/>
  <c r="D472" i="1"/>
  <c r="A473" i="1"/>
  <c r="B473" i="1"/>
  <c r="C473" i="1"/>
  <c r="D473" i="1"/>
  <c r="A474" i="1"/>
  <c r="B474" i="1"/>
  <c r="C474" i="1"/>
  <c r="D474" i="1"/>
  <c r="A475" i="1"/>
  <c r="B475" i="1"/>
  <c r="C475" i="1"/>
  <c r="D475" i="1"/>
  <c r="A476" i="1"/>
  <c r="B476" i="1"/>
  <c r="C476" i="1"/>
  <c r="D476" i="1"/>
  <c r="A477" i="1"/>
  <c r="B477" i="1"/>
  <c r="C477" i="1"/>
  <c r="D477" i="1"/>
  <c r="A478" i="1"/>
  <c r="B478" i="1"/>
  <c r="C478" i="1"/>
  <c r="D478" i="1"/>
  <c r="A479" i="1"/>
  <c r="B479" i="1"/>
  <c r="C479" i="1"/>
  <c r="D479" i="1"/>
  <c r="A480" i="1"/>
  <c r="B480" i="1"/>
  <c r="C480" i="1"/>
  <c r="D480" i="1"/>
  <c r="A481" i="1"/>
  <c r="B481" i="1"/>
  <c r="C481" i="1"/>
  <c r="D481" i="1"/>
  <c r="A482" i="1"/>
  <c r="B482" i="1"/>
  <c r="C482" i="1"/>
  <c r="D482" i="1"/>
  <c r="A483" i="1"/>
  <c r="B483" i="1"/>
  <c r="C483" i="1"/>
  <c r="D483" i="1"/>
  <c r="A484" i="1"/>
  <c r="B484" i="1"/>
  <c r="C484" i="1"/>
  <c r="D484" i="1"/>
  <c r="A485" i="1"/>
  <c r="B485" i="1"/>
  <c r="C485" i="1"/>
  <c r="D485" i="1"/>
  <c r="A486" i="1"/>
  <c r="B486" i="1"/>
  <c r="C486" i="1"/>
  <c r="D486" i="1"/>
  <c r="A487" i="1"/>
  <c r="B487" i="1"/>
  <c r="C487" i="1"/>
  <c r="D487" i="1"/>
  <c r="A488" i="1"/>
  <c r="B488" i="1"/>
  <c r="C488" i="1"/>
  <c r="D488" i="1"/>
  <c r="A489" i="1"/>
  <c r="B489" i="1"/>
  <c r="C489" i="1"/>
  <c r="D489" i="1"/>
  <c r="A490" i="1"/>
  <c r="B490" i="1"/>
  <c r="C490" i="1"/>
  <c r="D490" i="1"/>
  <c r="A491" i="1"/>
  <c r="B491" i="1"/>
  <c r="C491" i="1"/>
  <c r="D491" i="1"/>
  <c r="A492" i="1"/>
  <c r="B492" i="1"/>
  <c r="C492" i="1"/>
  <c r="D492" i="1"/>
  <c r="A493" i="1"/>
  <c r="B493" i="1"/>
  <c r="C493" i="1"/>
  <c r="D493" i="1"/>
  <c r="A494" i="1"/>
  <c r="B494" i="1"/>
  <c r="C494" i="1"/>
  <c r="D494" i="1"/>
  <c r="A495" i="1"/>
  <c r="B495" i="1"/>
  <c r="C495" i="1"/>
  <c r="D495" i="1"/>
  <c r="A496" i="1"/>
  <c r="B496" i="1"/>
  <c r="C496" i="1"/>
  <c r="D496" i="1"/>
  <c r="A497" i="1"/>
  <c r="B497" i="1"/>
  <c r="C497" i="1"/>
  <c r="D497" i="1"/>
  <c r="A498" i="1"/>
  <c r="B498" i="1"/>
  <c r="C498" i="1"/>
  <c r="D498" i="1"/>
  <c r="A499" i="1"/>
  <c r="B499" i="1"/>
  <c r="C499" i="1"/>
  <c r="D499" i="1"/>
  <c r="A500" i="1"/>
  <c r="B500" i="1"/>
  <c r="C500" i="1"/>
  <c r="D500" i="1"/>
  <c r="A501" i="1"/>
  <c r="B501" i="1"/>
  <c r="C501" i="1"/>
  <c r="D501" i="1"/>
  <c r="A502" i="1"/>
  <c r="B502" i="1"/>
  <c r="C502" i="1"/>
  <c r="D502" i="1"/>
  <c r="A503" i="1"/>
  <c r="B503" i="1"/>
  <c r="C503" i="1"/>
  <c r="D503" i="1"/>
  <c r="A504" i="1"/>
  <c r="B504" i="1"/>
  <c r="C504" i="1"/>
  <c r="D504" i="1"/>
  <c r="A505" i="1"/>
  <c r="B505" i="1"/>
  <c r="C505" i="1"/>
  <c r="D505" i="1"/>
  <c r="A506" i="1"/>
  <c r="B506" i="1"/>
  <c r="C506" i="1"/>
  <c r="D506" i="1"/>
  <c r="A507" i="1"/>
  <c r="B507" i="1"/>
  <c r="C507" i="1"/>
  <c r="D507" i="1"/>
  <c r="G6" i="1"/>
  <c r="H6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1" i="1"/>
  <c r="H21" i="1"/>
  <c r="I21" i="1"/>
  <c r="J21" i="1"/>
  <c r="G22" i="1"/>
  <c r="H22" i="1"/>
  <c r="I22" i="1"/>
  <c r="J22" i="1"/>
  <c r="G23" i="1"/>
  <c r="H23" i="1"/>
  <c r="I23" i="1"/>
  <c r="J23" i="1"/>
  <c r="G24" i="1"/>
  <c r="H24" i="1"/>
  <c r="I24" i="1"/>
  <c r="J24" i="1"/>
  <c r="G25" i="1"/>
  <c r="H25" i="1"/>
  <c r="I25" i="1"/>
  <c r="J25" i="1"/>
  <c r="G26" i="1"/>
  <c r="H26" i="1"/>
  <c r="I26" i="1"/>
  <c r="J26" i="1"/>
  <c r="G27" i="1"/>
  <c r="H27" i="1"/>
  <c r="I27" i="1"/>
  <c r="J27" i="1"/>
  <c r="G28" i="1"/>
  <c r="H28" i="1"/>
  <c r="I28" i="1"/>
  <c r="J28" i="1"/>
  <c r="G29" i="1"/>
  <c r="H29" i="1"/>
  <c r="I29" i="1"/>
  <c r="J29" i="1"/>
  <c r="G30" i="1"/>
  <c r="H30" i="1"/>
  <c r="I30" i="1"/>
  <c r="J30" i="1"/>
  <c r="G31" i="1"/>
  <c r="H31" i="1"/>
  <c r="I31" i="1"/>
  <c r="J31" i="1"/>
  <c r="G32" i="1"/>
  <c r="H32" i="1"/>
  <c r="I32" i="1"/>
  <c r="J32" i="1"/>
  <c r="G33" i="1"/>
  <c r="H33" i="1"/>
  <c r="I33" i="1"/>
  <c r="J33" i="1"/>
  <c r="G34" i="1"/>
  <c r="H34" i="1"/>
  <c r="I34" i="1"/>
  <c r="J34" i="1"/>
  <c r="G35" i="1"/>
  <c r="H35" i="1"/>
  <c r="I35" i="1"/>
  <c r="J35" i="1"/>
  <c r="G36" i="1"/>
  <c r="H36" i="1"/>
  <c r="I36" i="1"/>
  <c r="J36" i="1"/>
  <c r="G37" i="1"/>
  <c r="H37" i="1"/>
  <c r="I37" i="1"/>
  <c r="J37" i="1"/>
  <c r="G38" i="1"/>
  <c r="H38" i="1"/>
  <c r="I38" i="1"/>
  <c r="J38" i="1"/>
  <c r="G39" i="1"/>
  <c r="H39" i="1"/>
  <c r="I39" i="1"/>
  <c r="J39" i="1"/>
  <c r="G40" i="1"/>
  <c r="H40" i="1"/>
  <c r="I40" i="1"/>
  <c r="J40" i="1"/>
  <c r="G41" i="1"/>
  <c r="H41" i="1"/>
  <c r="I41" i="1"/>
  <c r="J41" i="1"/>
  <c r="G42" i="1"/>
  <c r="H42" i="1"/>
  <c r="I42" i="1"/>
  <c r="J42" i="1"/>
  <c r="G43" i="1"/>
  <c r="H43" i="1"/>
  <c r="I43" i="1"/>
  <c r="J43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G52" i="1"/>
  <c r="H52" i="1"/>
  <c r="I52" i="1"/>
  <c r="J52" i="1"/>
  <c r="G53" i="1"/>
  <c r="H53" i="1"/>
  <c r="I53" i="1"/>
  <c r="J53" i="1"/>
  <c r="G54" i="1"/>
  <c r="H54" i="1"/>
  <c r="I54" i="1"/>
  <c r="J54" i="1"/>
  <c r="G55" i="1"/>
  <c r="H55" i="1"/>
  <c r="I55" i="1"/>
  <c r="J55" i="1"/>
  <c r="G56" i="1"/>
  <c r="H56" i="1"/>
  <c r="I56" i="1"/>
  <c r="J56" i="1"/>
  <c r="G57" i="1"/>
  <c r="H57" i="1"/>
  <c r="I57" i="1"/>
  <c r="J57" i="1"/>
  <c r="G58" i="1"/>
  <c r="H58" i="1"/>
  <c r="I58" i="1"/>
  <c r="J58" i="1"/>
  <c r="G59" i="1"/>
  <c r="H59" i="1"/>
  <c r="I59" i="1"/>
  <c r="J59" i="1"/>
  <c r="G60" i="1"/>
  <c r="H60" i="1"/>
  <c r="I60" i="1"/>
  <c r="J60" i="1"/>
  <c r="G61" i="1"/>
  <c r="H61" i="1"/>
  <c r="I61" i="1"/>
  <c r="J61" i="1"/>
  <c r="G62" i="1"/>
  <c r="H62" i="1"/>
  <c r="I62" i="1"/>
  <c r="J62" i="1"/>
  <c r="G63" i="1"/>
  <c r="H63" i="1"/>
  <c r="I63" i="1"/>
  <c r="J63" i="1"/>
  <c r="G64" i="1"/>
  <c r="H64" i="1"/>
  <c r="I64" i="1"/>
  <c r="J64" i="1"/>
  <c r="G65" i="1"/>
  <c r="H65" i="1"/>
  <c r="I65" i="1"/>
  <c r="J65" i="1"/>
  <c r="G66" i="1"/>
  <c r="H66" i="1"/>
  <c r="I66" i="1"/>
  <c r="J66" i="1"/>
  <c r="G67" i="1"/>
  <c r="H67" i="1"/>
  <c r="I67" i="1"/>
  <c r="J67" i="1"/>
  <c r="G68" i="1"/>
  <c r="H68" i="1"/>
  <c r="I68" i="1"/>
  <c r="J68" i="1"/>
  <c r="G69" i="1"/>
  <c r="H69" i="1"/>
  <c r="I69" i="1"/>
  <c r="J69" i="1"/>
  <c r="G70" i="1"/>
  <c r="H70" i="1"/>
  <c r="I70" i="1"/>
  <c r="J70" i="1"/>
  <c r="G71" i="1"/>
  <c r="H71" i="1"/>
  <c r="I71" i="1"/>
  <c r="J71" i="1"/>
  <c r="G72" i="1"/>
  <c r="H72" i="1"/>
  <c r="I72" i="1"/>
  <c r="J72" i="1"/>
  <c r="G73" i="1"/>
  <c r="H73" i="1"/>
  <c r="I73" i="1"/>
  <c r="J73" i="1"/>
  <c r="G74" i="1"/>
  <c r="H74" i="1"/>
  <c r="I74" i="1"/>
  <c r="J74" i="1"/>
  <c r="G75" i="1"/>
  <c r="H75" i="1"/>
  <c r="I75" i="1"/>
  <c r="J75" i="1"/>
  <c r="G76" i="1"/>
  <c r="H76" i="1"/>
  <c r="I76" i="1"/>
  <c r="J76" i="1"/>
  <c r="G77" i="1"/>
  <c r="H77" i="1"/>
  <c r="I77" i="1"/>
  <c r="J77" i="1"/>
  <c r="G78" i="1"/>
  <c r="H78" i="1"/>
  <c r="I78" i="1"/>
  <c r="J78" i="1"/>
  <c r="G79" i="1"/>
  <c r="H79" i="1"/>
  <c r="I79" i="1"/>
  <c r="J79" i="1"/>
  <c r="G80" i="1"/>
  <c r="H80" i="1"/>
  <c r="I80" i="1"/>
  <c r="J80" i="1"/>
  <c r="G81" i="1"/>
  <c r="H81" i="1"/>
  <c r="I81" i="1"/>
  <c r="J81" i="1"/>
  <c r="G82" i="1"/>
  <c r="H82" i="1"/>
  <c r="I82" i="1"/>
  <c r="J82" i="1"/>
  <c r="G83" i="1"/>
  <c r="H83" i="1"/>
  <c r="I83" i="1"/>
  <c r="J83" i="1"/>
  <c r="G84" i="1"/>
  <c r="H84" i="1"/>
  <c r="I84" i="1"/>
  <c r="J84" i="1"/>
  <c r="G85" i="1"/>
  <c r="H85" i="1"/>
  <c r="I85" i="1"/>
  <c r="J85" i="1"/>
  <c r="G86" i="1"/>
  <c r="H86" i="1"/>
  <c r="I86" i="1"/>
  <c r="J86" i="1"/>
  <c r="G87" i="1"/>
  <c r="H87" i="1"/>
  <c r="I87" i="1"/>
  <c r="J87" i="1"/>
  <c r="G88" i="1"/>
  <c r="H88" i="1"/>
  <c r="I88" i="1"/>
  <c r="J88" i="1"/>
  <c r="G89" i="1"/>
  <c r="H89" i="1"/>
  <c r="I89" i="1"/>
  <c r="J89" i="1"/>
  <c r="G90" i="1"/>
  <c r="H90" i="1"/>
  <c r="I90" i="1"/>
  <c r="J90" i="1"/>
  <c r="G91" i="1"/>
  <c r="H91" i="1"/>
  <c r="I91" i="1"/>
  <c r="J91" i="1"/>
  <c r="G92" i="1"/>
  <c r="H92" i="1"/>
  <c r="I92" i="1"/>
  <c r="J92" i="1"/>
  <c r="G93" i="1"/>
  <c r="H93" i="1"/>
  <c r="I93" i="1"/>
  <c r="J93" i="1"/>
  <c r="G94" i="1"/>
  <c r="H94" i="1"/>
  <c r="I94" i="1"/>
  <c r="J94" i="1"/>
  <c r="G95" i="1"/>
  <c r="H95" i="1"/>
  <c r="I95" i="1"/>
  <c r="J95" i="1"/>
  <c r="G96" i="1"/>
  <c r="H96" i="1"/>
  <c r="I96" i="1"/>
  <c r="J96" i="1"/>
  <c r="G97" i="1"/>
  <c r="H97" i="1"/>
  <c r="I97" i="1"/>
  <c r="J97" i="1"/>
  <c r="G98" i="1"/>
  <c r="H98" i="1"/>
  <c r="I98" i="1"/>
  <c r="J98" i="1"/>
  <c r="G99" i="1"/>
  <c r="H99" i="1"/>
  <c r="I99" i="1"/>
  <c r="J99" i="1"/>
  <c r="G100" i="1"/>
  <c r="H100" i="1"/>
  <c r="I100" i="1"/>
  <c r="J100" i="1"/>
  <c r="G101" i="1"/>
  <c r="H101" i="1"/>
  <c r="I101" i="1"/>
  <c r="J101" i="1"/>
  <c r="G102" i="1"/>
  <c r="H102" i="1"/>
  <c r="I102" i="1"/>
  <c r="J102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H107" i="1"/>
  <c r="I107" i="1"/>
  <c r="J107" i="1"/>
  <c r="G108" i="1"/>
  <c r="H108" i="1"/>
  <c r="I108" i="1"/>
  <c r="J108" i="1"/>
  <c r="G109" i="1"/>
  <c r="H109" i="1"/>
  <c r="I109" i="1"/>
  <c r="J109" i="1"/>
  <c r="G110" i="1"/>
  <c r="H110" i="1"/>
  <c r="I110" i="1"/>
  <c r="J110" i="1"/>
  <c r="G111" i="1"/>
  <c r="H111" i="1"/>
  <c r="I111" i="1"/>
  <c r="J111" i="1"/>
  <c r="G112" i="1"/>
  <c r="H112" i="1"/>
  <c r="I112" i="1"/>
  <c r="J112" i="1"/>
  <c r="G113" i="1"/>
  <c r="H113" i="1"/>
  <c r="I113" i="1"/>
  <c r="J113" i="1"/>
  <c r="G114" i="1"/>
  <c r="H114" i="1"/>
  <c r="I114" i="1"/>
  <c r="J114" i="1"/>
  <c r="G115" i="1"/>
  <c r="H115" i="1"/>
  <c r="I115" i="1"/>
  <c r="J115" i="1"/>
  <c r="G116" i="1"/>
  <c r="H116" i="1"/>
  <c r="I116" i="1"/>
  <c r="J116" i="1"/>
  <c r="G117" i="1"/>
  <c r="H117" i="1"/>
  <c r="I117" i="1"/>
  <c r="J117" i="1"/>
  <c r="G118" i="1"/>
  <c r="H118" i="1"/>
  <c r="I118" i="1"/>
  <c r="J118" i="1"/>
  <c r="G119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3" i="1"/>
  <c r="H123" i="1"/>
  <c r="I123" i="1"/>
  <c r="J123" i="1"/>
  <c r="G124" i="1"/>
  <c r="H124" i="1"/>
  <c r="I124" i="1"/>
  <c r="J124" i="1"/>
  <c r="G125" i="1"/>
  <c r="H125" i="1"/>
  <c r="I125" i="1"/>
  <c r="J125" i="1"/>
  <c r="G126" i="1"/>
  <c r="H126" i="1"/>
  <c r="I126" i="1"/>
  <c r="J126" i="1"/>
  <c r="G127" i="1"/>
  <c r="H127" i="1"/>
  <c r="I127" i="1"/>
  <c r="J127" i="1"/>
  <c r="G128" i="1"/>
  <c r="H128" i="1"/>
  <c r="I128" i="1"/>
  <c r="J128" i="1"/>
  <c r="G129" i="1"/>
  <c r="H129" i="1"/>
  <c r="I129" i="1"/>
  <c r="J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133" i="1"/>
  <c r="H133" i="1"/>
  <c r="I133" i="1"/>
  <c r="J133" i="1"/>
  <c r="G134" i="1"/>
  <c r="H134" i="1"/>
  <c r="I134" i="1"/>
  <c r="J134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G217" i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</calcChain>
</file>

<file path=xl/sharedStrings.xml><?xml version="1.0" encoding="utf-8"?>
<sst xmlns="http://schemas.openxmlformats.org/spreadsheetml/2006/main" count="24" uniqueCount="19">
  <si>
    <t>Data</t>
  </si>
  <si>
    <t>Valor</t>
  </si>
  <si>
    <t>Quantidade</t>
  </si>
  <si>
    <t>Agressor</t>
  </si>
  <si>
    <t>Asset</t>
  </si>
  <si>
    <t>Último</t>
  </si>
  <si>
    <t>Abertura</t>
  </si>
  <si>
    <t>Máximo</t>
  </si>
  <si>
    <t>Mínimo</t>
  </si>
  <si>
    <t>Fechamento Anterior</t>
  </si>
  <si>
    <t>Variação</t>
  </si>
  <si>
    <t>Aj. Anterior</t>
  </si>
  <si>
    <t>TR - Volume de Agressão - Saldo</t>
  </si>
  <si>
    <t>VWAP</t>
  </si>
  <si>
    <t>Times - Compra - RTD</t>
  </si>
  <si>
    <t>Times - Venda -RTD</t>
  </si>
  <si>
    <t>10:36:05.616|7155,5|1|Vendedor||10:36:05.598|7155,5|1|Vendedor||10:36:05.598|7155,5|5|Vendedor||10:36:05.597|7155,5|2|Vendedor</t>
  </si>
  <si>
    <t>10:36:05.676|7155,5|1|Comprador||10:36:05.602|7155,5|1|Comprador||10:36:05.600|7155,5|1|Comprador||10:36:05.591|7155,5|6|Comprador</t>
  </si>
  <si>
    <t>ESM6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</si>
</sst>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h:mm:ss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1C1"/>
        <bgColor indexed="64"/>
      </patternFill>
    </fill>
  </fills>
  <borders count="21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/>
      <diagonal/>
    </border>
    <border>
      <left/>
      <right/>
      <top style="medium">
        <color theme="2" tint="-0.249977111117893"/>
      </top>
      <bottom/>
      <diagonal/>
    </border>
    <border>
      <left/>
      <right style="medium">
        <color theme="2" tint="-0.249977111117893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 style="medium">
        <color theme="2" tint="-0.249977111117893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/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 style="medium">
        <color rgb="FFFA0000"/>
      </left>
      <right/>
      <top style="medium">
        <color rgb="FFFA0000"/>
      </top>
      <bottom style="medium">
        <color rgb="FFFA0000"/>
      </bottom>
      <diagonal/>
    </border>
    <border>
      <left/>
      <right/>
      <top style="medium">
        <color rgb="FFFA0000"/>
      </top>
      <bottom style="medium">
        <color rgb="FFFA0000"/>
      </bottom>
      <diagonal/>
    </border>
    <border>
      <left/>
      <right style="medium">
        <color rgb="FFFA0000"/>
      </right>
      <top style="medium">
        <color rgb="FFFA0000"/>
      </top>
      <bottom style="medium">
        <color rgb="FFFA0000"/>
      </bottom>
      <diagonal/>
    </border>
    <border>
      <left style="medium">
        <color rgb="FFFA0000"/>
      </left>
      <right/>
      <top/>
      <bottom/>
      <diagonal/>
    </border>
    <border>
      <left/>
      <right style="medium">
        <color rgb="FFFA0000"/>
      </right>
      <top/>
      <bottom/>
      <diagonal/>
    </border>
    <border>
      <left style="medium">
        <color rgb="FFFA0000"/>
      </left>
      <right/>
      <top/>
      <bottom style="medium">
        <color rgb="FFFA0000"/>
      </bottom>
      <diagonal/>
    </border>
    <border>
      <left/>
      <right/>
      <top/>
      <bottom style="medium">
        <color rgb="FFFA0000"/>
      </bottom>
      <diagonal/>
    </border>
    <border>
      <left/>
      <right style="medium">
        <color rgb="FFFA0000"/>
      </right>
      <top/>
      <bottom style="medium">
        <color rgb="FFFA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2" borderId="0" xfId="0" applyFill="1"/>
    <xf numFmtId="22" fontId="0" fillId="0" borderId="0" xfId="0" applyNumberFormat="1" applyAlignment="1">
      <alignment horizontal="center"/>
    </xf>
    <xf numFmtId="47" fontId="0" fillId="0" borderId="0" xfId="0" applyNumberFormat="1"/>
    <xf numFmtId="0" fontId="2" fillId="0" borderId="2" xfId="0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" fontId="0" fillId="3" borderId="5" xfId="0" applyNumberFormat="1" applyFont="1" applyFill="1" applyBorder="1" applyAlignment="1">
      <alignment horizontal="center"/>
    </xf>
    <xf numFmtId="4" fontId="0" fillId="4" borderId="5" xfId="0" applyNumberFormat="1" applyFont="1" applyFill="1" applyBorder="1" applyAlignment="1">
      <alignment horizontal="center"/>
    </xf>
    <xf numFmtId="4" fontId="0" fillId="5" borderId="5" xfId="0" applyNumberFormat="1" applyFont="1" applyFill="1" applyBorder="1" applyAlignment="1">
      <alignment horizontal="center"/>
    </xf>
    <xf numFmtId="4" fontId="0" fillId="0" borderId="5" xfId="0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4" fontId="0" fillId="6" borderId="5" xfId="0" applyNumberFormat="1" applyFont="1" applyFill="1" applyBorder="1" applyAlignment="1">
      <alignment horizontal="center"/>
    </xf>
    <xf numFmtId="4" fontId="0" fillId="7" borderId="6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0" fillId="0" borderId="0" xfId="0" applyFill="1"/>
    <xf numFmtId="165" fontId="0" fillId="0" borderId="0" xfId="0" applyNumberFormat="1"/>
    <xf numFmtId="165" fontId="2" fillId="0" borderId="2" xfId="0" applyNumberFormat="1" applyFont="1" applyBorder="1" applyAlignment="1">
      <alignment horizontal="center"/>
    </xf>
    <xf numFmtId="165" fontId="0" fillId="0" borderId="0" xfId="0" applyNumberFormat="1" applyFill="1"/>
    <xf numFmtId="0" fontId="2" fillId="9" borderId="10" xfId="0" applyFont="1" applyFill="1" applyBorder="1"/>
    <xf numFmtId="0" fontId="2" fillId="9" borderId="0" xfId="0" applyFont="1" applyFill="1" applyBorder="1"/>
    <xf numFmtId="0" fontId="2" fillId="9" borderId="10" xfId="0" applyFont="1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4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12" xfId="0" applyNumberForma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2" fillId="10" borderId="16" xfId="0" applyFont="1" applyFill="1" applyBorder="1"/>
    <xf numFmtId="0" fontId="2" fillId="10" borderId="0" xfId="0" applyFont="1" applyFill="1" applyBorder="1"/>
    <xf numFmtId="165" fontId="2" fillId="10" borderId="16" xfId="0" applyNumberFormat="1" applyFont="1" applyFill="1" applyBorder="1" applyAlignment="1">
      <alignment horizontal="center"/>
    </xf>
    <xf numFmtId="0" fontId="2" fillId="10" borderId="17" xfId="0" applyFont="1" applyFill="1" applyBorder="1" applyAlignment="1">
      <alignment horizontal="center"/>
    </xf>
    <xf numFmtId="165" fontId="0" fillId="10" borderId="16" xfId="0" applyNumberFormat="1" applyFill="1" applyBorder="1" applyAlignment="1">
      <alignment horizontal="center"/>
    </xf>
    <xf numFmtId="4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4" fontId="0" fillId="10" borderId="19" xfId="0" applyNumberFormat="1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21" fontId="0" fillId="9" borderId="10" xfId="0" applyNumberFormat="1" applyFill="1" applyBorder="1" applyAlignment="1">
      <alignment horizontal="center"/>
    </xf>
    <xf numFmtId="21" fontId="0" fillId="9" borderId="11" xfId="0" applyNumberFormat="1" applyFill="1" applyBorder="1" applyAlignment="1">
      <alignment horizontal="center"/>
    </xf>
    <xf numFmtId="0" fontId="2" fillId="10" borderId="17" xfId="0" applyFont="1" applyFill="1" applyBorder="1"/>
    <xf numFmtId="0" fontId="2" fillId="9" borderId="7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10" borderId="13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15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A0000"/>
      <color rgb="FFFFC1C1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19:08:20.714</v>
        <stp/>
        <stp>T&amp;T0</stp>
        <stp>DAT</stp>
        <stp>8</stp>
        <tr r="A16" s="1"/>
      </tp>
      <tp t="s">
        <v>19:08:19.372</v>
        <stp/>
        <stp>T&amp;T0</stp>
        <stp>DAT</stp>
        <stp>9</stp>
        <tr r="A17" s="1"/>
      </tp>
      <tp t="s">
        <v>19:08:20.860</v>
        <stp/>
        <stp>T&amp;T0</stp>
        <stp>DAT</stp>
        <stp>6</stp>
        <tr r="A14" s="1"/>
      </tp>
      <tp t="s">
        <v>19:08:20.715</v>
        <stp/>
        <stp>T&amp;T0</stp>
        <stp>DAT</stp>
        <stp>7</stp>
        <tr r="A15" s="1"/>
      </tp>
      <tp t="s">
        <v>19:08:25.990</v>
        <stp/>
        <stp>T&amp;T0</stp>
        <stp>DAT</stp>
        <stp>4</stp>
        <tr r="A12" s="1"/>
      </tp>
      <tp t="s">
        <v>19:08:25.245</v>
        <stp/>
        <stp>T&amp;T0</stp>
        <stp>DAT</stp>
        <stp>5</stp>
        <tr r="A13" s="1"/>
      </tp>
      <tp t="s">
        <v>19:08:25.990</v>
        <stp/>
        <stp>T&amp;T0</stp>
        <stp>DAT</stp>
        <stp>2</stp>
        <tr r="A10" s="1"/>
      </tp>
      <tp t="s">
        <v>19:08:25.990</v>
        <stp/>
        <stp>T&amp;T0</stp>
        <stp>DAT</stp>
        <stp>3</stp>
        <tr r="A11" s="1"/>
      </tp>
      <tp t="s">
        <v>19:08:30.210</v>
        <stp/>
        <stp>T&amp;T0</stp>
        <stp>DAT</stp>
        <stp>0</stp>
        <tr r="A8" s="1"/>
      </tp>
      <tp t="s">
        <v>19:08:28.533</v>
        <stp/>
        <stp>T&amp;T0</stp>
        <stp>DAT</stp>
        <stp>1</stp>
        <tr r="A9" s="1"/>
      </tp>
      <tp t="s">
        <v>19:08:25.585</v>
        <stp/>
        <stp>T&amp;T1</stp>
        <stp>DAT</stp>
        <stp>8</stp>
        <tr r="G16" s="1"/>
      </tp>
      <tp t="s">
        <v>19:08:25.245</v>
        <stp/>
        <stp>T&amp;T1</stp>
        <stp>DAT</stp>
        <stp>9</stp>
        <tr r="G17" s="1"/>
      </tp>
      <tp t="s">
        <v>19:08:27.587</v>
        <stp/>
        <stp>T&amp;T1</stp>
        <stp>DAT</stp>
        <stp>6</stp>
        <tr r="G14" s="1"/>
      </tp>
      <tp t="s">
        <v>19:08:27.587</v>
        <stp/>
        <stp>T&amp;T1</stp>
        <stp>DAT</stp>
        <stp>7</stp>
        <tr r="G15" s="1"/>
      </tp>
      <tp t="s">
        <v>19:08:29.410</v>
        <stp/>
        <stp>T&amp;T1</stp>
        <stp>DAT</stp>
        <stp>4</stp>
        <tr r="G12" s="1"/>
      </tp>
      <tp t="s">
        <v>19:08:27.587</v>
        <stp/>
        <stp>T&amp;T1</stp>
        <stp>DAT</stp>
        <stp>5</stp>
        <tr r="G13" s="1"/>
      </tp>
      <tp t="s">
        <v>19:08:30.282</v>
        <stp/>
        <stp>T&amp;T1</stp>
        <stp>DAT</stp>
        <stp>2</stp>
        <tr r="G10" s="1"/>
      </tp>
      <tp t="s">
        <v>19:08:30.210</v>
        <stp/>
        <stp>T&amp;T1</stp>
        <stp>DAT</stp>
        <stp>3</stp>
        <tr r="G11" s="1"/>
      </tp>
      <tp t="s">
        <v>19:08:32.486</v>
        <stp/>
        <stp>T&amp;T1</stp>
        <stp>DAT</stp>
        <stp>0</stp>
        <tr r="G8" s="1"/>
      </tp>
      <tp t="s">
        <v>19:08:30.283</v>
        <stp/>
        <stp>T&amp;T1</stp>
        <stp>DAT</stp>
        <stp>1</stp>
        <tr r="G9" s="1"/>
      </tp>
      <tp t="s">
        <v>Comprador</v>
        <stp/>
        <stp>T&amp;T0</stp>
        <stp>AGR</stp>
        <stp>9</stp>
        <tr r="D17" s="1"/>
      </tp>
      <tp t="s">
        <v>Comprador</v>
        <stp/>
        <stp>T&amp;T0</stp>
        <stp>AGR</stp>
        <stp>8</stp>
        <tr r="D16" s="1"/>
      </tp>
      <tp t="s">
        <v>Comprador</v>
        <stp/>
        <stp>T&amp;T0</stp>
        <stp>AGR</stp>
        <stp>3</stp>
        <tr r="D11" s="1"/>
      </tp>
      <tp t="s">
        <v>Comprador</v>
        <stp/>
        <stp>T&amp;T0</stp>
        <stp>AGR</stp>
        <stp>2</stp>
        <tr r="D10" s="1"/>
      </tp>
      <tp t="s">
        <v>Comprador</v>
        <stp/>
        <stp>T&amp;T0</stp>
        <stp>AGR</stp>
        <stp>1</stp>
        <tr r="D9" s="1"/>
      </tp>
      <tp t="s">
        <v>Comprador</v>
        <stp/>
        <stp>T&amp;T0</stp>
        <stp>AGR</stp>
        <stp>0</stp>
        <tr r="D8" s="1"/>
      </tp>
      <tp t="s">
        <v>Comprador</v>
        <stp/>
        <stp>T&amp;T0</stp>
        <stp>AGR</stp>
        <stp>7</stp>
        <tr r="D15" s="1"/>
      </tp>
      <tp t="s">
        <v>Comprador</v>
        <stp/>
        <stp>T&amp;T0</stp>
        <stp>AGR</stp>
        <stp>6</stp>
        <tr r="D14" s="1"/>
      </tp>
      <tp t="s">
        <v>Comprador</v>
        <stp/>
        <stp>T&amp;T0</stp>
        <stp>AGR</stp>
        <stp>5</stp>
        <tr r="D13" s="1"/>
      </tp>
      <tp t="s">
        <v>Comprador</v>
        <stp/>
        <stp>T&amp;T0</stp>
        <stp>AGR</stp>
        <stp>4</stp>
        <tr r="D12" s="1"/>
      </tp>
      <tp t="s">
        <v>Vendedor</v>
        <stp/>
        <stp>T&amp;T1</stp>
        <stp>AGR</stp>
        <stp>9</stp>
        <tr r="J17" s="1"/>
      </tp>
      <tp t="s">
        <v>Vendedor</v>
        <stp/>
        <stp>T&amp;T1</stp>
        <stp>AGR</stp>
        <stp>8</stp>
        <tr r="J16" s="1"/>
      </tp>
      <tp t="s">
        <v>Vendedor</v>
        <stp/>
        <stp>T&amp;T1</stp>
        <stp>AGR</stp>
        <stp>3</stp>
        <tr r="J11" s="1"/>
      </tp>
      <tp t="s">
        <v>Vendedor</v>
        <stp/>
        <stp>T&amp;T1</stp>
        <stp>AGR</stp>
        <stp>2</stp>
        <tr r="J10" s="1"/>
      </tp>
      <tp t="s">
        <v>Vendedor</v>
        <stp/>
        <stp>T&amp;T1</stp>
        <stp>AGR</stp>
        <stp>1</stp>
        <tr r="J9" s="1"/>
      </tp>
      <tp t="s">
        <v>Vendedor</v>
        <stp/>
        <stp>T&amp;T1</stp>
        <stp>AGR</stp>
        <stp>0</stp>
        <tr r="J8" s="1"/>
      </tp>
      <tp t="s">
        <v>Vendedor</v>
        <stp/>
        <stp>T&amp;T1</stp>
        <stp>AGR</stp>
        <stp>7</stp>
        <tr r="J15" s="1"/>
      </tp>
      <tp t="s">
        <v>Vendedor</v>
        <stp/>
        <stp>T&amp;T1</stp>
        <stp>AGR</stp>
        <stp>6</stp>
        <tr r="J14" s="1"/>
      </tp>
      <tp t="s">
        <v>Vendedor</v>
        <stp/>
        <stp>T&amp;T1</stp>
        <stp>AGR</stp>
        <stp>5</stp>
        <tr r="J13" s="1"/>
      </tp>
      <tp t="s">
        <v>Vendedor</v>
        <stp/>
        <stp>T&amp;T1</stp>
        <stp>AGR</stp>
        <stp>4</stp>
        <tr r="J12" s="1"/>
      </tp>
      <tp>
        <v>7346</v>
        <stp/>
        <stp>T&amp;T1</stp>
        <stp>PRE</stp>
        <stp>8</stp>
        <tr r="H16" s="1"/>
      </tp>
      <tp>
        <v>7346</v>
        <stp/>
        <stp>T&amp;T1</stp>
        <stp>PRE</stp>
        <stp>9</stp>
        <tr r="H17" s="1"/>
      </tp>
      <tp>
        <v>7345.75</v>
        <stp/>
        <stp>T&amp;T1</stp>
        <stp>PRE</stp>
        <stp>2</stp>
        <tr r="H10" s="1"/>
      </tp>
      <tp>
        <v>7345.75</v>
        <stp/>
        <stp>T&amp;T1</stp>
        <stp>PRE</stp>
        <stp>3</stp>
        <tr r="H11" s="1"/>
      </tp>
      <tp>
        <v>7345.75</v>
        <stp/>
        <stp>T&amp;T1</stp>
        <stp>PRE</stp>
        <stp>0</stp>
        <tr r="H8" s="1"/>
      </tp>
      <tp>
        <v>7345.75</v>
        <stp/>
        <stp>T&amp;T1</stp>
        <stp>PRE</stp>
        <stp>1</stp>
        <tr r="H9" s="1"/>
      </tp>
      <tp>
        <v>7345.75</v>
        <stp/>
        <stp>T&amp;T1</stp>
        <stp>PRE</stp>
        <stp>6</stp>
        <tr r="H14" s="1"/>
      </tp>
      <tp>
        <v>7345.75</v>
        <stp/>
        <stp>T&amp;T1</stp>
        <stp>PRE</stp>
        <stp>7</stp>
        <tr r="H15" s="1"/>
      </tp>
      <tp>
        <v>7345.75</v>
        <stp/>
        <stp>T&amp;T1</stp>
        <stp>PRE</stp>
        <stp>4</stp>
        <tr r="H12" s="1"/>
      </tp>
      <tp>
        <v>7345.75</v>
        <stp/>
        <stp>T&amp;T1</stp>
        <stp>PRE</stp>
        <stp>5</stp>
        <tr r="H13" s="1"/>
      </tp>
      <tp>
        <v>7346.25</v>
        <stp/>
        <stp>T&amp;T0</stp>
        <stp>PRE</stp>
        <stp>8</stp>
        <tr r="B16" s="1"/>
      </tp>
      <tp>
        <v>7346</v>
        <stp/>
        <stp>T&amp;T0</stp>
        <stp>PRE</stp>
        <stp>9</stp>
        <tr r="B17" s="1"/>
      </tp>
      <tp>
        <v>7346</v>
        <stp/>
        <stp>T&amp;T0</stp>
        <stp>PRE</stp>
        <stp>2</stp>
        <tr r="B10" s="1"/>
      </tp>
      <tp>
        <v>7346</v>
        <stp/>
        <stp>T&amp;T0</stp>
        <stp>PRE</stp>
        <stp>3</stp>
        <tr r="B11" s="1"/>
      </tp>
      <tp>
        <v>7345.75</v>
        <stp/>
        <stp>T&amp;T0</stp>
        <stp>PRE</stp>
        <stp>0</stp>
        <tr r="B8" s="1"/>
      </tp>
      <tp>
        <v>7346</v>
        <stp/>
        <stp>T&amp;T0</stp>
        <stp>PRE</stp>
        <stp>1</stp>
        <tr r="B9" s="1"/>
      </tp>
      <tp>
        <v>7346.25</v>
        <stp/>
        <stp>T&amp;T0</stp>
        <stp>PRE</stp>
        <stp>6</stp>
        <tr r="B14" s="1"/>
      </tp>
      <tp>
        <v>7346.25</v>
        <stp/>
        <stp>T&amp;T0</stp>
        <stp>PRE</stp>
        <stp>7</stp>
        <tr r="B15" s="1"/>
      </tp>
      <tp>
        <v>7346</v>
        <stp/>
        <stp>T&amp;T0</stp>
        <stp>PRE</stp>
        <stp>4</stp>
        <tr r="B12" s="1"/>
      </tp>
      <tp>
        <v>7346</v>
        <stp/>
        <stp>T&amp;T0</stp>
        <stp>PRE</stp>
        <stp>5</stp>
        <tr r="B13" s="1"/>
      </tp>
      <tp>
        <v>1</v>
        <stp/>
        <stp>T&amp;T0</stp>
        <stp>QUL</stp>
        <stp>9</stp>
        <tr r="C17" s="1"/>
      </tp>
      <tp>
        <v>7</v>
        <stp/>
        <stp>T&amp;T0</stp>
        <stp>QUL</stp>
        <stp>8</stp>
        <tr r="C16" s="1"/>
      </tp>
      <tp>
        <v>3</v>
        <stp/>
        <stp>T&amp;T0</stp>
        <stp>QUL</stp>
        <stp>3</stp>
        <tr r="C11" s="1"/>
      </tp>
      <tp>
        <v>6</v>
        <stp/>
        <stp>T&amp;T0</stp>
        <stp>QUL</stp>
        <stp>2</stp>
        <tr r="C10" s="1"/>
      </tp>
      <tp>
        <v>1</v>
        <stp/>
        <stp>T&amp;T0</stp>
        <stp>QUL</stp>
        <stp>1</stp>
        <tr r="C9" s="1"/>
      </tp>
      <tp>
        <v>1</v>
        <stp/>
        <stp>T&amp;T0</stp>
        <stp>QUL</stp>
        <stp>0</stp>
        <tr r="C8" s="1"/>
      </tp>
      <tp>
        <v>1</v>
        <stp/>
        <stp>T&amp;T0</stp>
        <stp>QUL</stp>
        <stp>7</stp>
        <tr r="C15" s="1"/>
      </tp>
      <tp>
        <v>1</v>
        <stp/>
        <stp>T&amp;T0</stp>
        <stp>QUL</stp>
        <stp>6</stp>
        <tr r="C14" s="1"/>
      </tp>
      <tp>
        <v>2</v>
        <stp/>
        <stp>T&amp;T0</stp>
        <stp>QUL</stp>
        <stp>5</stp>
        <tr r="C13" s="1"/>
      </tp>
      <tp>
        <v>2</v>
        <stp/>
        <stp>T&amp;T0</stp>
        <stp>QUL</stp>
        <stp>4</stp>
        <tr r="C12" s="1"/>
      </tp>
      <tp>
        <v>1</v>
        <stp/>
        <stp>T&amp;T1</stp>
        <stp>QUL</stp>
        <stp>9</stp>
        <tr r="I17" s="1"/>
      </tp>
      <tp>
        <v>2</v>
        <stp/>
        <stp>T&amp;T1</stp>
        <stp>QUL</stp>
        <stp>8</stp>
        <tr r="I16" s="1"/>
      </tp>
      <tp>
        <v>2</v>
        <stp/>
        <stp>T&amp;T1</stp>
        <stp>QUL</stp>
        <stp>3</stp>
        <tr r="I11" s="1"/>
      </tp>
      <tp>
        <v>1</v>
        <stp/>
        <stp>T&amp;T1</stp>
        <stp>QUL</stp>
        <stp>2</stp>
        <tr r="I10" s="1"/>
      </tp>
      <tp>
        <v>1</v>
        <stp/>
        <stp>T&amp;T1</stp>
        <stp>QUL</stp>
        <stp>1</stp>
        <tr r="I9" s="1"/>
      </tp>
      <tp>
        <v>1</v>
        <stp/>
        <stp>T&amp;T1</stp>
        <stp>QUL</stp>
        <stp>0</stp>
        <tr r="I8" s="1"/>
      </tp>
      <tp>
        <v>7</v>
        <stp/>
        <stp>T&amp;T1</stp>
        <stp>QUL</stp>
        <stp>7</stp>
        <tr r="I15" s="1"/>
      </tp>
      <tp>
        <v>2</v>
        <stp/>
        <stp>T&amp;T1</stp>
        <stp>QUL</stp>
        <stp>6</stp>
        <tr r="I14" s="1"/>
      </tp>
      <tp>
        <v>1</v>
        <stp/>
        <stp>T&amp;T1</stp>
        <stp>QUL</stp>
        <stp>5</stp>
        <tr r="I13" s="1"/>
      </tp>
      <tp>
        <v>1</v>
        <stp/>
        <stp>T&amp;T1</stp>
        <stp>QUL</stp>
        <stp>4</stp>
        <tr r="I12" s="1"/>
      </tp>
      <tp t="s">
        <v>7.344,08</v>
        <stp/>
        <stp>ESM6_M_0</stp>
        <stp>67</stp>
        <tr r="K2" s="1"/>
      </tp>
      <tp>
        <v>-8.8408310381175831E-2</v>
        <stp/>
        <stp>ESM6_M_0</stp>
        <stp>VAR</stp>
        <tr r="H2" s="1"/>
      </tp>
      <tp t="s">
        <v>Negócios</v>
        <stp/>
        <stp>T&amp;T1</stp>
        <stp>INFO</stp>
        <stp>TAB</stp>
        <tr r="H6" s="1"/>
      </tp>
      <tp t="s">
        <v>Negócios</v>
        <stp/>
        <stp>T&amp;T0</stp>
        <stp>INFO</stp>
        <stp>TAB</stp>
        <tr r="B6" s="1"/>
      </tp>
      <tp>
        <v>7345.75</v>
        <stp/>
        <stp>ESM6_M_0</stp>
        <stp>ULT</stp>
        <tr r="C2" s="1"/>
      </tp>
      <tp>
        <v>1</v>
        <stp/>
        <stp>T&amp;T0</stp>
        <stp>QUL</stp>
        <stp>398</stp>
        <tr r="C406" s="1"/>
      </tp>
      <tp>
        <v>1</v>
        <stp/>
        <stp>T&amp;T1</stp>
        <stp>QUL</stp>
        <stp>399</stp>
        <tr r="I407" s="1"/>
      </tp>
      <tp>
        <v>2</v>
        <stp/>
        <stp>T&amp;T0</stp>
        <stp>QUL</stp>
        <stp>399</stp>
        <tr r="C407" s="1"/>
      </tp>
      <tp>
        <v>1</v>
        <stp/>
        <stp>T&amp;T1</stp>
        <stp>QUL</stp>
        <stp>398</stp>
        <tr r="I406" s="1"/>
      </tp>
      <tp>
        <v>1</v>
        <stp/>
        <stp>T&amp;T0</stp>
        <stp>QUL</stp>
        <stp>390</stp>
        <tr r="C398" s="1"/>
      </tp>
      <tp>
        <v>1</v>
        <stp/>
        <stp>T&amp;T1</stp>
        <stp>QUL</stp>
        <stp>391</stp>
        <tr r="I399" s="1"/>
      </tp>
      <tp>
        <v>1</v>
        <stp/>
        <stp>T&amp;T0</stp>
        <stp>QUL</stp>
        <stp>391</stp>
        <tr r="C399" s="1"/>
      </tp>
      <tp>
        <v>1</v>
        <stp/>
        <stp>T&amp;T1</stp>
        <stp>QUL</stp>
        <stp>390</stp>
        <tr r="I398" s="1"/>
      </tp>
      <tp>
        <v>3</v>
        <stp/>
        <stp>T&amp;T0</stp>
        <stp>QUL</stp>
        <stp>392</stp>
        <tr r="C400" s="1"/>
      </tp>
      <tp>
        <v>1</v>
        <stp/>
        <stp>T&amp;T1</stp>
        <stp>QUL</stp>
        <stp>393</stp>
        <tr r="I401" s="1"/>
      </tp>
      <tp>
        <v>3</v>
        <stp/>
        <stp>T&amp;T0</stp>
        <stp>QUL</stp>
        <stp>393</stp>
        <tr r="C401" s="1"/>
      </tp>
      <tp>
        <v>1</v>
        <stp/>
        <stp>T&amp;T1</stp>
        <stp>QUL</stp>
        <stp>392</stp>
        <tr r="I400" s="1"/>
      </tp>
      <tp>
        <v>1</v>
        <stp/>
        <stp>T&amp;T0</stp>
        <stp>QUL</stp>
        <stp>394</stp>
        <tr r="C402" s="1"/>
      </tp>
      <tp>
        <v>2</v>
        <stp/>
        <stp>T&amp;T1</stp>
        <stp>QUL</stp>
        <stp>395</stp>
        <tr r="I403" s="1"/>
      </tp>
      <tp>
        <v>4</v>
        <stp/>
        <stp>T&amp;T0</stp>
        <stp>QUL</stp>
        <stp>395</stp>
        <tr r="C403" s="1"/>
      </tp>
      <tp>
        <v>1</v>
        <stp/>
        <stp>T&amp;T1</stp>
        <stp>QUL</stp>
        <stp>394</stp>
        <tr r="I402" s="1"/>
      </tp>
      <tp>
        <v>2</v>
        <stp/>
        <stp>T&amp;T0</stp>
        <stp>QUL</stp>
        <stp>396</stp>
        <tr r="C404" s="1"/>
      </tp>
      <tp>
        <v>2</v>
        <stp/>
        <stp>T&amp;T1</stp>
        <stp>QUL</stp>
        <stp>397</stp>
        <tr r="I405" s="1"/>
      </tp>
      <tp>
        <v>3</v>
        <stp/>
        <stp>T&amp;T0</stp>
        <stp>QUL</stp>
        <stp>397</stp>
        <tr r="C405" s="1"/>
      </tp>
      <tp>
        <v>3</v>
        <stp/>
        <stp>T&amp;T1</stp>
        <stp>QUL</stp>
        <stp>396</stp>
        <tr r="I404" s="1"/>
      </tp>
      <tp>
        <v>1</v>
        <stp/>
        <stp>T&amp;T0</stp>
        <stp>QUL</stp>
        <stp>388</stp>
        <tr r="C396" s="1"/>
      </tp>
      <tp>
        <v>1</v>
        <stp/>
        <stp>T&amp;T1</stp>
        <stp>QUL</stp>
        <stp>389</stp>
        <tr r="I397" s="1"/>
      </tp>
      <tp>
        <v>1</v>
        <stp/>
        <stp>T&amp;T0</stp>
        <stp>QUL</stp>
        <stp>389</stp>
        <tr r="C397" s="1"/>
      </tp>
      <tp>
        <v>5</v>
        <stp/>
        <stp>T&amp;T1</stp>
        <stp>QUL</stp>
        <stp>388</stp>
        <tr r="I396" s="1"/>
      </tp>
      <tp>
        <v>1</v>
        <stp/>
        <stp>T&amp;T0</stp>
        <stp>QUL</stp>
        <stp>380</stp>
        <tr r="C388" s="1"/>
      </tp>
      <tp>
        <v>5</v>
        <stp/>
        <stp>T&amp;T1</stp>
        <stp>QUL</stp>
        <stp>381</stp>
        <tr r="I389" s="1"/>
      </tp>
      <tp>
        <v>1</v>
        <stp/>
        <stp>T&amp;T0</stp>
        <stp>QUL</stp>
        <stp>381</stp>
        <tr r="C389" s="1"/>
      </tp>
      <tp>
        <v>4</v>
        <stp/>
        <stp>T&amp;T1</stp>
        <stp>QUL</stp>
        <stp>380</stp>
        <tr r="I388" s="1"/>
      </tp>
      <tp>
        <v>1</v>
        <stp/>
        <stp>T&amp;T0</stp>
        <stp>QUL</stp>
        <stp>382</stp>
        <tr r="C390" s="1"/>
      </tp>
      <tp>
        <v>1</v>
        <stp/>
        <stp>T&amp;T1</stp>
        <stp>QUL</stp>
        <stp>383</stp>
        <tr r="I391" s="1"/>
      </tp>
      <tp>
        <v>3</v>
        <stp/>
        <stp>T&amp;T0</stp>
        <stp>QUL</stp>
        <stp>383</stp>
        <tr r="C391" s="1"/>
      </tp>
      <tp>
        <v>1</v>
        <stp/>
        <stp>T&amp;T1</stp>
        <stp>QUL</stp>
        <stp>382</stp>
        <tr r="I390" s="1"/>
      </tp>
      <tp>
        <v>2</v>
        <stp/>
        <stp>T&amp;T0</stp>
        <stp>QUL</stp>
        <stp>384</stp>
        <tr r="C392" s="1"/>
      </tp>
      <tp>
        <v>1</v>
        <stp/>
        <stp>T&amp;T1</stp>
        <stp>QUL</stp>
        <stp>385</stp>
        <tr r="I393" s="1"/>
      </tp>
      <tp>
        <v>1</v>
        <stp/>
        <stp>T&amp;T0</stp>
        <stp>QUL</stp>
        <stp>385</stp>
        <tr r="C393" s="1"/>
      </tp>
      <tp>
        <v>3</v>
        <stp/>
        <stp>T&amp;T1</stp>
        <stp>QUL</stp>
        <stp>384</stp>
        <tr r="I392" s="1"/>
      </tp>
      <tp>
        <v>1</v>
        <stp/>
        <stp>T&amp;T0</stp>
        <stp>QUL</stp>
        <stp>386</stp>
        <tr r="C394" s="1"/>
      </tp>
      <tp>
        <v>10</v>
        <stp/>
        <stp>T&amp;T1</stp>
        <stp>QUL</stp>
        <stp>387</stp>
        <tr r="I395" s="1"/>
      </tp>
      <tp>
        <v>1</v>
        <stp/>
        <stp>T&amp;T0</stp>
        <stp>QUL</stp>
        <stp>387</stp>
        <tr r="C395" s="1"/>
      </tp>
      <tp>
        <v>5</v>
        <stp/>
        <stp>T&amp;T1</stp>
        <stp>QUL</stp>
        <stp>386</stp>
        <tr r="I394" s="1"/>
      </tp>
      <tp>
        <v>7347.5</v>
        <stp/>
        <stp>T&amp;T0</stp>
        <stp>PRE</stp>
        <stp>281</stp>
        <tr r="B289" s="1"/>
      </tp>
      <tp>
        <v>7348</v>
        <stp/>
        <stp>T&amp;T1</stp>
        <stp>PRE</stp>
        <stp>280</stp>
        <tr r="H288" s="1"/>
      </tp>
      <tp>
        <v>7347.5</v>
        <stp/>
        <stp>T&amp;T0</stp>
        <stp>PRE</stp>
        <stp>280</stp>
        <tr r="B288" s="1"/>
      </tp>
      <tp>
        <v>7348</v>
        <stp/>
        <stp>T&amp;T1</stp>
        <stp>PRE</stp>
        <stp>281</stp>
        <tr r="H289" s="1"/>
      </tp>
      <tp>
        <v>7347.25</v>
        <stp/>
        <stp>T&amp;T0</stp>
        <stp>PRE</stp>
        <stp>283</stp>
        <tr r="B291" s="1"/>
      </tp>
      <tp>
        <v>7347.25</v>
        <stp/>
        <stp>T&amp;T1</stp>
        <stp>PRE</stp>
        <stp>282</stp>
        <tr r="H290" s="1"/>
      </tp>
      <tp>
        <v>7347.5</v>
        <stp/>
        <stp>T&amp;T0</stp>
        <stp>PRE</stp>
        <stp>282</stp>
        <tr r="B290" s="1"/>
      </tp>
      <tp>
        <v>7347.25</v>
        <stp/>
        <stp>T&amp;T1</stp>
        <stp>PRE</stp>
        <stp>283</stp>
        <tr r="H291" s="1"/>
      </tp>
      <tp>
        <v>7347.25</v>
        <stp/>
        <stp>T&amp;T0</stp>
        <stp>PRE</stp>
        <stp>285</stp>
        <tr r="B293" s="1"/>
      </tp>
      <tp>
        <v>7347.25</v>
        <stp/>
        <stp>T&amp;T1</stp>
        <stp>PRE</stp>
        <stp>284</stp>
        <tr r="H292" s="1"/>
      </tp>
      <tp>
        <v>7347</v>
        <stp/>
        <stp>T&amp;T0</stp>
        <stp>PRE</stp>
        <stp>284</stp>
        <tr r="B292" s="1"/>
      </tp>
      <tp>
        <v>7347.25</v>
        <stp/>
        <stp>T&amp;T1</stp>
        <stp>PRE</stp>
        <stp>285</stp>
        <tr r="H293" s="1"/>
      </tp>
      <tp>
        <v>7347</v>
        <stp/>
        <stp>T&amp;T0</stp>
        <stp>PRE</stp>
        <stp>287</stp>
        <tr r="B295" s="1"/>
      </tp>
      <tp>
        <v>7347.25</v>
        <stp/>
        <stp>T&amp;T1</stp>
        <stp>PRE</stp>
        <stp>286</stp>
        <tr r="H294" s="1"/>
      </tp>
      <tp>
        <v>7347.25</v>
        <stp/>
        <stp>T&amp;T0</stp>
        <stp>PRE</stp>
        <stp>286</stp>
        <tr r="B294" s="1"/>
      </tp>
      <tp>
        <v>7347.25</v>
        <stp/>
        <stp>T&amp;T1</stp>
        <stp>PRE</stp>
        <stp>287</stp>
        <tr r="H295" s="1"/>
      </tp>
      <tp>
        <v>7347.5</v>
        <stp/>
        <stp>T&amp;T0</stp>
        <stp>PRE</stp>
        <stp>289</stp>
        <tr r="B297" s="1"/>
      </tp>
      <tp>
        <v>7347</v>
        <stp/>
        <stp>T&amp;T1</stp>
        <stp>PRE</stp>
        <stp>288</stp>
        <tr r="H296" s="1"/>
      </tp>
      <tp>
        <v>7347</v>
        <stp/>
        <stp>T&amp;T0</stp>
        <stp>PRE</stp>
        <stp>288</stp>
        <tr r="B296" s="1"/>
      </tp>
      <tp>
        <v>7347</v>
        <stp/>
        <stp>T&amp;T1</stp>
        <stp>PRE</stp>
        <stp>289</stp>
        <tr r="H297" s="1"/>
      </tp>
      <tp>
        <v>7347.5</v>
        <stp/>
        <stp>T&amp;T0</stp>
        <stp>PRE</stp>
        <stp>291</stp>
        <tr r="B299" s="1"/>
      </tp>
      <tp>
        <v>7347</v>
        <stp/>
        <stp>T&amp;T1</stp>
        <stp>PRE</stp>
        <stp>290</stp>
        <tr r="H298" s="1"/>
      </tp>
      <tp>
        <v>7347.75</v>
        <stp/>
        <stp>T&amp;T0</stp>
        <stp>PRE</stp>
        <stp>290</stp>
        <tr r="B298" s="1"/>
      </tp>
      <tp>
        <v>7347.5</v>
        <stp/>
        <stp>T&amp;T1</stp>
        <stp>PRE</stp>
        <stp>291</stp>
        <tr r="H299" s="1"/>
      </tp>
      <tp>
        <v>7348</v>
        <stp/>
        <stp>T&amp;T0</stp>
        <stp>PRE</stp>
        <stp>293</stp>
        <tr r="B301" s="1"/>
      </tp>
      <tp>
        <v>7347.5</v>
        <stp/>
        <stp>T&amp;T1</stp>
        <stp>PRE</stp>
        <stp>292</stp>
        <tr r="H300" s="1"/>
      </tp>
      <tp>
        <v>7347.75</v>
        <stp/>
        <stp>T&amp;T0</stp>
        <stp>PRE</stp>
        <stp>292</stp>
        <tr r="B300" s="1"/>
      </tp>
      <tp>
        <v>7347.5</v>
        <stp/>
        <stp>T&amp;T1</stp>
        <stp>PRE</stp>
        <stp>293</stp>
        <tr r="H301" s="1"/>
      </tp>
      <tp>
        <v>7348.5</v>
        <stp/>
        <stp>T&amp;T0</stp>
        <stp>PRE</stp>
        <stp>295</stp>
        <tr r="B303" s="1"/>
      </tp>
      <tp>
        <v>7347.5</v>
        <stp/>
        <stp>T&amp;T1</stp>
        <stp>PRE</stp>
        <stp>294</stp>
        <tr r="H302" s="1"/>
      </tp>
      <tp>
        <v>7348</v>
        <stp/>
        <stp>T&amp;T0</stp>
        <stp>PRE</stp>
        <stp>294</stp>
        <tr r="B302" s="1"/>
      </tp>
      <tp>
        <v>7347.25</v>
        <stp/>
        <stp>T&amp;T1</stp>
        <stp>PRE</stp>
        <stp>295</stp>
        <tr r="H303" s="1"/>
      </tp>
      <tp>
        <v>7348.25</v>
        <stp/>
        <stp>T&amp;T0</stp>
        <stp>PRE</stp>
        <stp>297</stp>
        <tr r="B305" s="1"/>
      </tp>
      <tp>
        <v>7347.25</v>
        <stp/>
        <stp>T&amp;T1</stp>
        <stp>PRE</stp>
        <stp>296</stp>
        <tr r="H304" s="1"/>
      </tp>
      <tp>
        <v>7348.5</v>
        <stp/>
        <stp>T&amp;T0</stp>
        <stp>PRE</stp>
        <stp>296</stp>
        <tr r="B304" s="1"/>
      </tp>
      <tp>
        <v>7347.25</v>
        <stp/>
        <stp>T&amp;T1</stp>
        <stp>PRE</stp>
        <stp>297</stp>
        <tr r="H305" s="1"/>
      </tp>
      <tp>
        <v>7348</v>
        <stp/>
        <stp>T&amp;T0</stp>
        <stp>PRE</stp>
        <stp>299</stp>
        <tr r="B307" s="1"/>
      </tp>
      <tp>
        <v>7347.25</v>
        <stp/>
        <stp>T&amp;T1</stp>
        <stp>PRE</stp>
        <stp>298</stp>
        <tr r="H306" s="1"/>
      </tp>
      <tp>
        <v>7348.25</v>
        <stp/>
        <stp>T&amp;T0</stp>
        <stp>PRE</stp>
        <stp>298</stp>
        <tr r="B306" s="1"/>
      </tp>
      <tp>
        <v>7347</v>
        <stp/>
        <stp>T&amp;T1</stp>
        <stp>PRE</stp>
        <stp>299</stp>
        <tr r="H307" s="1"/>
      </tp>
      <tp>
        <v>7348.5</v>
        <stp/>
        <stp>T&amp;T0</stp>
        <stp>PRE</stp>
        <stp>261</stp>
        <tr r="B269" s="1"/>
      </tp>
      <tp>
        <v>1</v>
        <stp/>
        <stp>T&amp;T0</stp>
        <stp>QUL</stp>
        <stp>318</stp>
        <tr r="C326" s="1"/>
      </tp>
      <tp>
        <v>7347.25</v>
        <stp/>
        <stp>T&amp;T1</stp>
        <stp>PRE</stp>
        <stp>260</stp>
        <tr r="H268" s="1"/>
      </tp>
      <tp>
        <v>2</v>
        <stp/>
        <stp>T&amp;T1</stp>
        <stp>QUL</stp>
        <stp>319</stp>
        <tr r="I327" s="1"/>
      </tp>
      <tp>
        <v>7347.5</v>
        <stp/>
        <stp>T&amp;T0</stp>
        <stp>PRE</stp>
        <stp>260</stp>
        <tr r="B268" s="1"/>
      </tp>
      <tp>
        <v>1</v>
        <stp/>
        <stp>T&amp;T0</stp>
        <stp>QUL</stp>
        <stp>319</stp>
        <tr r="C327" s="1"/>
      </tp>
      <tp>
        <v>7347</v>
        <stp/>
        <stp>T&amp;T1</stp>
        <stp>PRE</stp>
        <stp>261</stp>
        <tr r="H269" s="1"/>
      </tp>
      <tp>
        <v>2</v>
        <stp/>
        <stp>T&amp;T1</stp>
        <stp>QUL</stp>
        <stp>318</stp>
        <tr r="I326" s="1"/>
      </tp>
      <tp>
        <v>7348.25</v>
        <stp/>
        <stp>T&amp;T0</stp>
        <stp>PRE</stp>
        <stp>263</stp>
        <tr r="B271" s="1"/>
      </tp>
      <tp>
        <v>7347</v>
        <stp/>
        <stp>T&amp;T1</stp>
        <stp>PRE</stp>
        <stp>262</stp>
        <tr r="H270" s="1"/>
      </tp>
      <tp>
        <v>7348.25</v>
        <stp/>
        <stp>T&amp;T0</stp>
        <stp>PRE</stp>
        <stp>262</stp>
        <tr r="B270" s="1"/>
      </tp>
      <tp>
        <v>7347.25</v>
        <stp/>
        <stp>T&amp;T1</stp>
        <stp>PRE</stp>
        <stp>263</stp>
        <tr r="H271" s="1"/>
      </tp>
      <tp>
        <v>7347.75</v>
        <stp/>
        <stp>T&amp;T0</stp>
        <stp>PRE</stp>
        <stp>265</stp>
        <tr r="B273" s="1"/>
      </tp>
      <tp>
        <v>7347.25</v>
        <stp/>
        <stp>T&amp;T1</stp>
        <stp>PRE</stp>
        <stp>264</stp>
        <tr r="H272" s="1"/>
      </tp>
      <tp>
        <v>7348</v>
        <stp/>
        <stp>T&amp;T0</stp>
        <stp>PRE</stp>
        <stp>264</stp>
        <tr r="B272" s="1"/>
      </tp>
      <tp>
        <v>7347.25</v>
        <stp/>
        <stp>T&amp;T1</stp>
        <stp>PRE</stp>
        <stp>265</stp>
        <tr r="H273" s="1"/>
      </tp>
      <tp>
        <v>7348</v>
        <stp/>
        <stp>T&amp;T0</stp>
        <stp>PRE</stp>
        <stp>267</stp>
        <tr r="B275" s="1"/>
      </tp>
      <tp>
        <v>7347.25</v>
        <stp/>
        <stp>T&amp;T1</stp>
        <stp>PRE</stp>
        <stp>266</stp>
        <tr r="H274" s="1"/>
      </tp>
      <tp>
        <v>7347.75</v>
        <stp/>
        <stp>T&amp;T0</stp>
        <stp>PRE</stp>
        <stp>266</stp>
        <tr r="B274" s="1"/>
      </tp>
      <tp>
        <v>7347.25</v>
        <stp/>
        <stp>T&amp;T1</stp>
        <stp>PRE</stp>
        <stp>267</stp>
        <tr r="H275" s="1"/>
      </tp>
      <tp>
        <v>7348</v>
        <stp/>
        <stp>T&amp;T0</stp>
        <stp>PRE</stp>
        <stp>269</stp>
        <tr r="B277" s="1"/>
      </tp>
      <tp>
        <v>1</v>
        <stp/>
        <stp>T&amp;T0</stp>
        <stp>QUL</stp>
        <stp>310</stp>
        <tr r="C318" s="1"/>
      </tp>
      <tp>
        <v>7347.25</v>
        <stp/>
        <stp>T&amp;T1</stp>
        <stp>PRE</stp>
        <stp>268</stp>
        <tr r="H276" s="1"/>
      </tp>
      <tp>
        <v>3</v>
        <stp/>
        <stp>T&amp;T1</stp>
        <stp>QUL</stp>
        <stp>311</stp>
        <tr r="I319" s="1"/>
      </tp>
      <tp>
        <v>7348.25</v>
        <stp/>
        <stp>T&amp;T0</stp>
        <stp>PRE</stp>
        <stp>268</stp>
        <tr r="B276" s="1"/>
      </tp>
      <tp>
        <v>1</v>
        <stp/>
        <stp>T&amp;T0</stp>
        <stp>QUL</stp>
        <stp>311</stp>
        <tr r="C319" s="1"/>
      </tp>
      <tp>
        <v>7347.25</v>
        <stp/>
        <stp>T&amp;T1</stp>
        <stp>PRE</stp>
        <stp>269</stp>
        <tr r="H277" s="1"/>
      </tp>
      <tp>
        <v>1</v>
        <stp/>
        <stp>T&amp;T1</stp>
        <stp>QUL</stp>
        <stp>310</stp>
        <tr r="I318" s="1"/>
      </tp>
      <tp>
        <v>1</v>
        <stp/>
        <stp>T&amp;T0</stp>
        <stp>QUL</stp>
        <stp>312</stp>
        <tr r="C320" s="1"/>
      </tp>
      <tp>
        <v>3</v>
        <stp/>
        <stp>T&amp;T1</stp>
        <stp>QUL</stp>
        <stp>313</stp>
        <tr r="I321" s="1"/>
      </tp>
      <tp>
        <v>1</v>
        <stp/>
        <stp>T&amp;T0</stp>
        <stp>QUL</stp>
        <stp>313</stp>
        <tr r="C321" s="1"/>
      </tp>
      <tp>
        <v>2</v>
        <stp/>
        <stp>T&amp;T1</stp>
        <stp>QUL</stp>
        <stp>312</stp>
        <tr r="I320" s="1"/>
      </tp>
      <tp>
        <v>1</v>
        <stp/>
        <stp>T&amp;T0</stp>
        <stp>QUL</stp>
        <stp>314</stp>
        <tr r="C322" s="1"/>
      </tp>
      <tp>
        <v>1</v>
        <stp/>
        <stp>T&amp;T1</stp>
        <stp>QUL</stp>
        <stp>315</stp>
        <tr r="I323" s="1"/>
      </tp>
      <tp>
        <v>1</v>
        <stp/>
        <stp>T&amp;T0</stp>
        <stp>QUL</stp>
        <stp>315</stp>
        <tr r="C323" s="1"/>
      </tp>
      <tp>
        <v>3</v>
        <stp/>
        <stp>T&amp;T1</stp>
        <stp>QUL</stp>
        <stp>314</stp>
        <tr r="I322" s="1"/>
      </tp>
      <tp>
        <v>1</v>
        <stp/>
        <stp>T&amp;T0</stp>
        <stp>QUL</stp>
        <stp>316</stp>
        <tr r="C324" s="1"/>
      </tp>
      <tp>
        <v>2</v>
        <stp/>
        <stp>T&amp;T1</stp>
        <stp>QUL</stp>
        <stp>317</stp>
        <tr r="I325" s="1"/>
      </tp>
      <tp>
        <v>2</v>
        <stp/>
        <stp>T&amp;T0</stp>
        <stp>QUL</stp>
        <stp>317</stp>
        <tr r="C325" s="1"/>
      </tp>
      <tp>
        <v>2</v>
        <stp/>
        <stp>T&amp;T1</stp>
        <stp>QUL</stp>
        <stp>316</stp>
        <tr r="I324" s="1"/>
      </tp>
      <tp>
        <v>7347.5</v>
        <stp/>
        <stp>T&amp;T0</stp>
        <stp>PRE</stp>
        <stp>271</stp>
        <tr r="B279" s="1"/>
      </tp>
      <tp>
        <v>1</v>
        <stp/>
        <stp>T&amp;T0</stp>
        <stp>QUL</stp>
        <stp>308</stp>
        <tr r="C316" s="1"/>
      </tp>
      <tp>
        <v>7347.5</v>
        <stp/>
        <stp>T&amp;T1</stp>
        <stp>PRE</stp>
        <stp>270</stp>
        <tr r="H278" s="1"/>
      </tp>
      <tp>
        <v>5</v>
        <stp/>
        <stp>T&amp;T1</stp>
        <stp>QUL</stp>
        <stp>309</stp>
        <tr r="I317" s="1"/>
      </tp>
      <tp>
        <v>7347.75</v>
        <stp/>
        <stp>T&amp;T0</stp>
        <stp>PRE</stp>
        <stp>270</stp>
        <tr r="B278" s="1"/>
      </tp>
      <tp>
        <v>1</v>
        <stp/>
        <stp>T&amp;T0</stp>
        <stp>QUL</stp>
        <stp>309</stp>
        <tr r="C317" s="1"/>
      </tp>
      <tp>
        <v>7347.75</v>
        <stp/>
        <stp>T&amp;T1</stp>
        <stp>PRE</stp>
        <stp>271</stp>
        <tr r="H279" s="1"/>
      </tp>
      <tp>
        <v>1</v>
        <stp/>
        <stp>T&amp;T1</stp>
        <stp>QUL</stp>
        <stp>308</stp>
        <tr r="I316" s="1"/>
      </tp>
      <tp>
        <v>7347.5</v>
        <stp/>
        <stp>T&amp;T0</stp>
        <stp>PRE</stp>
        <stp>273</stp>
        <tr r="B281" s="1"/>
      </tp>
      <tp>
        <v>7348</v>
        <stp/>
        <stp>T&amp;T1</stp>
        <stp>PRE</stp>
        <stp>272</stp>
        <tr r="H280" s="1"/>
      </tp>
      <tp>
        <v>7347.5</v>
        <stp/>
        <stp>T&amp;T0</stp>
        <stp>PRE</stp>
        <stp>272</stp>
        <tr r="B280" s="1"/>
      </tp>
      <tp>
        <v>7348</v>
        <stp/>
        <stp>T&amp;T1</stp>
        <stp>PRE</stp>
        <stp>273</stp>
        <tr r="H281" s="1"/>
      </tp>
      <tp>
        <v>7347.25</v>
        <stp/>
        <stp>T&amp;T0</stp>
        <stp>PRE</stp>
        <stp>275</stp>
        <tr r="B283" s="1"/>
      </tp>
      <tp>
        <v>7348.25</v>
        <stp/>
        <stp>T&amp;T1</stp>
        <stp>PRE</stp>
        <stp>274</stp>
        <tr r="H282" s="1"/>
      </tp>
      <tp>
        <v>7347.25</v>
        <stp/>
        <stp>T&amp;T0</stp>
        <stp>PRE</stp>
        <stp>274</stp>
        <tr r="B282" s="1"/>
      </tp>
      <tp>
        <v>7348.25</v>
        <stp/>
        <stp>T&amp;T1</stp>
        <stp>PRE</stp>
        <stp>275</stp>
        <tr r="H283" s="1"/>
      </tp>
      <tp>
        <v>7347.5</v>
        <stp/>
        <stp>T&amp;T0</stp>
        <stp>PRE</stp>
        <stp>277</stp>
        <tr r="B285" s="1"/>
      </tp>
      <tp>
        <v>7347.75</v>
        <stp/>
        <stp>T&amp;T1</stp>
        <stp>PRE</stp>
        <stp>276</stp>
        <tr r="H284" s="1"/>
      </tp>
      <tp>
        <v>7347.25</v>
        <stp/>
        <stp>T&amp;T0</stp>
        <stp>PRE</stp>
        <stp>276</stp>
        <tr r="B284" s="1"/>
      </tp>
      <tp>
        <v>7348</v>
        <stp/>
        <stp>T&amp;T1</stp>
        <stp>PRE</stp>
        <stp>277</stp>
        <tr r="H285" s="1"/>
      </tp>
      <tp>
        <v>7347.5</v>
        <stp/>
        <stp>T&amp;T0</stp>
        <stp>PRE</stp>
        <stp>279</stp>
        <tr r="B287" s="1"/>
      </tp>
      <tp>
        <v>1</v>
        <stp/>
        <stp>T&amp;T0</stp>
        <stp>QUL</stp>
        <stp>300</stp>
        <tr r="C308" s="1"/>
      </tp>
      <tp>
        <v>7348</v>
        <stp/>
        <stp>T&amp;T1</stp>
        <stp>PRE</stp>
        <stp>278</stp>
        <tr r="H286" s="1"/>
      </tp>
      <tp>
        <v>1</v>
        <stp/>
        <stp>T&amp;T1</stp>
        <stp>QUL</stp>
        <stp>301</stp>
        <tr r="I309" s="1"/>
      </tp>
      <tp>
        <v>7347.5</v>
        <stp/>
        <stp>T&amp;T0</stp>
        <stp>PRE</stp>
        <stp>278</stp>
        <tr r="B286" s="1"/>
      </tp>
      <tp>
        <v>1</v>
        <stp/>
        <stp>T&amp;T0</stp>
        <stp>QUL</stp>
        <stp>301</stp>
        <tr r="C309" s="1"/>
      </tp>
      <tp>
        <v>7347.75</v>
        <stp/>
        <stp>T&amp;T1</stp>
        <stp>PRE</stp>
        <stp>279</stp>
        <tr r="H287" s="1"/>
      </tp>
      <tp>
        <v>1</v>
        <stp/>
        <stp>T&amp;T1</stp>
        <stp>QUL</stp>
        <stp>300</stp>
        <tr r="I308" s="1"/>
      </tp>
      <tp>
        <v>1</v>
        <stp/>
        <stp>T&amp;T0</stp>
        <stp>QUL</stp>
        <stp>302</stp>
        <tr r="C310" s="1"/>
      </tp>
      <tp>
        <v>3</v>
        <stp/>
        <stp>T&amp;T1</stp>
        <stp>QUL</stp>
        <stp>303</stp>
        <tr r="I311" s="1"/>
      </tp>
      <tp>
        <v>1</v>
        <stp/>
        <stp>T&amp;T0</stp>
        <stp>QUL</stp>
        <stp>303</stp>
        <tr r="C311" s="1"/>
      </tp>
      <tp>
        <v>5</v>
        <stp/>
        <stp>T&amp;T1</stp>
        <stp>QUL</stp>
        <stp>302</stp>
        <tr r="I310" s="1"/>
      </tp>
      <tp>
        <v>1</v>
        <stp/>
        <stp>T&amp;T0</stp>
        <stp>QUL</stp>
        <stp>304</stp>
        <tr r="C312" s="1"/>
      </tp>
      <tp>
        <v>1</v>
        <stp/>
        <stp>T&amp;T1</stp>
        <stp>QUL</stp>
        <stp>305</stp>
        <tr r="I313" s="1"/>
      </tp>
      <tp>
        <v>3</v>
        <stp/>
        <stp>T&amp;T0</stp>
        <stp>QUL</stp>
        <stp>305</stp>
        <tr r="C313" s="1"/>
      </tp>
      <tp>
        <v>2</v>
        <stp/>
        <stp>T&amp;T1</stp>
        <stp>QUL</stp>
        <stp>304</stp>
        <tr r="I312" s="1"/>
      </tp>
      <tp>
        <v>2</v>
        <stp/>
        <stp>T&amp;T0</stp>
        <stp>QUL</stp>
        <stp>306</stp>
        <tr r="C314" s="1"/>
      </tp>
      <tp>
        <v>1</v>
        <stp/>
        <stp>T&amp;T1</stp>
        <stp>QUL</stp>
        <stp>307</stp>
        <tr r="I315" s="1"/>
      </tp>
      <tp>
        <v>4</v>
        <stp/>
        <stp>T&amp;T0</stp>
        <stp>QUL</stp>
        <stp>307</stp>
        <tr r="C315" s="1"/>
      </tp>
      <tp>
        <v>5</v>
        <stp/>
        <stp>T&amp;T1</stp>
        <stp>QUL</stp>
        <stp>306</stp>
        <tr r="I314" s="1"/>
      </tp>
      <tp>
        <v>7346.75</v>
        <stp/>
        <stp>T&amp;T0</stp>
        <stp>PRE</stp>
        <stp>241</stp>
        <tr r="B249" s="1"/>
      </tp>
      <tp>
        <v>1</v>
        <stp/>
        <stp>T&amp;T0</stp>
        <stp>QUL</stp>
        <stp>338</stp>
        <tr r="C346" s="1"/>
      </tp>
      <tp>
        <v>7346.75</v>
        <stp/>
        <stp>T&amp;T1</stp>
        <stp>PRE</stp>
        <stp>240</stp>
        <tr r="H248" s="1"/>
      </tp>
      <tp>
        <v>1</v>
        <stp/>
        <stp>T&amp;T1</stp>
        <stp>QUL</stp>
        <stp>339</stp>
        <tr r="I347" s="1"/>
      </tp>
      <tp>
        <v>7347</v>
        <stp/>
        <stp>T&amp;T0</stp>
        <stp>PRE</stp>
        <stp>240</stp>
        <tr r="B248" s="1"/>
      </tp>
      <tp>
        <v>2</v>
        <stp/>
        <stp>T&amp;T0</stp>
        <stp>QUL</stp>
        <stp>339</stp>
        <tr r="C347" s="1"/>
      </tp>
      <tp>
        <v>7347</v>
        <stp/>
        <stp>T&amp;T1</stp>
        <stp>PRE</stp>
        <stp>241</stp>
        <tr r="H249" s="1"/>
      </tp>
      <tp>
        <v>4</v>
        <stp/>
        <stp>T&amp;T1</stp>
        <stp>QUL</stp>
        <stp>338</stp>
        <tr r="I346" s="1"/>
      </tp>
      <tp>
        <v>7347</v>
        <stp/>
        <stp>T&amp;T0</stp>
        <stp>PRE</stp>
        <stp>243</stp>
        <tr r="B251" s="1"/>
      </tp>
      <tp>
        <v>7346.75</v>
        <stp/>
        <stp>T&amp;T1</stp>
        <stp>PRE</stp>
        <stp>242</stp>
        <tr r="H250" s="1"/>
      </tp>
      <tp>
        <v>7346.75</v>
        <stp/>
        <stp>T&amp;T0</stp>
        <stp>PRE</stp>
        <stp>242</stp>
        <tr r="B250" s="1"/>
      </tp>
      <tp>
        <v>7346.5</v>
        <stp/>
        <stp>T&amp;T1</stp>
        <stp>PRE</stp>
        <stp>243</stp>
        <tr r="H251" s="1"/>
      </tp>
      <tp>
        <v>7346.5</v>
        <stp/>
        <stp>T&amp;T0</stp>
        <stp>PRE</stp>
        <stp>245</stp>
        <tr r="B253" s="1"/>
      </tp>
      <tp>
        <v>7346.75</v>
        <stp/>
        <stp>T&amp;T1</stp>
        <stp>PRE</stp>
        <stp>244</stp>
        <tr r="H252" s="1"/>
      </tp>
      <tp>
        <v>7346.5</v>
        <stp/>
        <stp>T&amp;T0</stp>
        <stp>PRE</stp>
        <stp>244</stp>
        <tr r="B252" s="1"/>
      </tp>
      <tp>
        <v>7347</v>
        <stp/>
        <stp>T&amp;T1</stp>
        <stp>PRE</stp>
        <stp>245</stp>
        <tr r="H253" s="1"/>
      </tp>
      <tp>
        <v>7347.25</v>
        <stp/>
        <stp>T&amp;T0</stp>
        <stp>PRE</stp>
        <stp>247</stp>
        <tr r="B255" s="1"/>
      </tp>
      <tp>
        <v>7347.25</v>
        <stp/>
        <stp>T&amp;T1</stp>
        <stp>PRE</stp>
        <stp>246</stp>
        <tr r="H254" s="1"/>
      </tp>
      <tp>
        <v>7346.5</v>
        <stp/>
        <stp>T&amp;T0</stp>
        <stp>PRE</stp>
        <stp>246</stp>
        <tr r="B254" s="1"/>
      </tp>
      <tp>
        <v>7347</v>
        <stp/>
        <stp>T&amp;T1</stp>
        <stp>PRE</stp>
        <stp>247</stp>
        <tr r="H255" s="1"/>
      </tp>
      <tp>
        <v>7347.25</v>
        <stp/>
        <stp>T&amp;T0</stp>
        <stp>PRE</stp>
        <stp>249</stp>
        <tr r="B257" s="1"/>
      </tp>
      <tp>
        <v>6</v>
        <stp/>
        <stp>T&amp;T0</stp>
        <stp>QUL</stp>
        <stp>330</stp>
        <tr r="C338" s="1"/>
      </tp>
      <tp>
        <v>7347</v>
        <stp/>
        <stp>T&amp;T1</stp>
        <stp>PRE</stp>
        <stp>248</stp>
        <tr r="H256" s="1"/>
      </tp>
      <tp>
        <v>2</v>
        <stp/>
        <stp>T&amp;T1</stp>
        <stp>QUL</stp>
        <stp>331</stp>
        <tr r="I339" s="1"/>
      </tp>
      <tp>
        <v>7347</v>
        <stp/>
        <stp>T&amp;T0</stp>
        <stp>PRE</stp>
        <stp>248</stp>
        <tr r="B256" s="1"/>
      </tp>
      <tp>
        <v>1</v>
        <stp/>
        <stp>T&amp;T0</stp>
        <stp>QUL</stp>
        <stp>331</stp>
        <tr r="C339" s="1"/>
      </tp>
      <tp>
        <v>7347</v>
        <stp/>
        <stp>T&amp;T1</stp>
        <stp>PRE</stp>
        <stp>249</stp>
        <tr r="H257" s="1"/>
      </tp>
      <tp>
        <v>15</v>
        <stp/>
        <stp>T&amp;T1</stp>
        <stp>QUL</stp>
        <stp>330</stp>
        <tr r="I338" s="1"/>
      </tp>
      <tp>
        <v>1</v>
        <stp/>
        <stp>T&amp;T0</stp>
        <stp>QUL</stp>
        <stp>332</stp>
        <tr r="C340" s="1"/>
      </tp>
      <tp>
        <v>2</v>
        <stp/>
        <stp>T&amp;T1</stp>
        <stp>QUL</stp>
        <stp>333</stp>
        <tr r="I341" s="1"/>
      </tp>
      <tp>
        <v>1</v>
        <stp/>
        <stp>T&amp;T0</stp>
        <stp>QUL</stp>
        <stp>333</stp>
        <tr r="C341" s="1"/>
      </tp>
      <tp>
        <v>2</v>
        <stp/>
        <stp>T&amp;T1</stp>
        <stp>QUL</stp>
        <stp>332</stp>
        <tr r="I340" s="1"/>
      </tp>
      <tp>
        <v>1</v>
        <stp/>
        <stp>T&amp;T0</stp>
        <stp>QUL</stp>
        <stp>334</stp>
        <tr r="C342" s="1"/>
      </tp>
      <tp>
        <v>1</v>
        <stp/>
        <stp>T&amp;T1</stp>
        <stp>QUL</stp>
        <stp>335</stp>
        <tr r="I343" s="1"/>
      </tp>
      <tp>
        <v>1</v>
        <stp/>
        <stp>T&amp;T0</stp>
        <stp>QUL</stp>
        <stp>335</stp>
        <tr r="C343" s="1"/>
      </tp>
      <tp>
        <v>1</v>
        <stp/>
        <stp>T&amp;T1</stp>
        <stp>QUL</stp>
        <stp>334</stp>
        <tr r="I342" s="1"/>
      </tp>
      <tp>
        <v>1</v>
        <stp/>
        <stp>T&amp;T0</stp>
        <stp>QUL</stp>
        <stp>336</stp>
        <tr r="C344" s="1"/>
      </tp>
      <tp>
        <v>1</v>
        <stp/>
        <stp>T&amp;T1</stp>
        <stp>QUL</stp>
        <stp>337</stp>
        <tr r="I345" s="1"/>
      </tp>
      <tp>
        <v>1</v>
        <stp/>
        <stp>T&amp;T0</stp>
        <stp>QUL</stp>
        <stp>337</stp>
        <tr r="C345" s="1"/>
      </tp>
      <tp>
        <v>1</v>
        <stp/>
        <stp>T&amp;T1</stp>
        <stp>QUL</stp>
        <stp>336</stp>
        <tr r="I344" s="1"/>
      </tp>
      <tp>
        <v>7347</v>
        <stp/>
        <stp>T&amp;T0</stp>
        <stp>PRE</stp>
        <stp>251</stp>
        <tr r="B259" s="1"/>
      </tp>
      <tp>
        <v>1</v>
        <stp/>
        <stp>T&amp;T0</stp>
        <stp>QUL</stp>
        <stp>328</stp>
        <tr r="C336" s="1"/>
      </tp>
      <tp>
        <v>7347</v>
        <stp/>
        <stp>T&amp;T1</stp>
        <stp>PRE</stp>
        <stp>250</stp>
        <tr r="H258" s="1"/>
      </tp>
      <tp>
        <v>3</v>
        <stp/>
        <stp>T&amp;T1</stp>
        <stp>QUL</stp>
        <stp>329</stp>
        <tr r="I337" s="1"/>
      </tp>
      <tp>
        <v>7347</v>
        <stp/>
        <stp>T&amp;T0</stp>
        <stp>PRE</stp>
        <stp>250</stp>
        <tr r="B258" s="1"/>
      </tp>
      <tp>
        <v>2</v>
        <stp/>
        <stp>T&amp;T0</stp>
        <stp>QUL</stp>
        <stp>329</stp>
        <tr r="C337" s="1"/>
      </tp>
      <tp>
        <v>7347</v>
        <stp/>
        <stp>T&amp;T1</stp>
        <stp>PRE</stp>
        <stp>251</stp>
        <tr r="H259" s="1"/>
      </tp>
      <tp>
        <v>6</v>
        <stp/>
        <stp>T&amp;T1</stp>
        <stp>QUL</stp>
        <stp>328</stp>
        <tr r="I336" s="1"/>
      </tp>
      <tp>
        <v>7347.25</v>
        <stp/>
        <stp>T&amp;T0</stp>
        <stp>PRE</stp>
        <stp>253</stp>
        <tr r="B261" s="1"/>
      </tp>
      <tp>
        <v>7347</v>
        <stp/>
        <stp>T&amp;T1</stp>
        <stp>PRE</stp>
        <stp>252</stp>
        <tr r="H260" s="1"/>
      </tp>
      <tp>
        <v>7347.25</v>
        <stp/>
        <stp>T&amp;T0</stp>
        <stp>PRE</stp>
        <stp>252</stp>
        <tr r="B260" s="1"/>
      </tp>
      <tp>
        <v>7347.25</v>
        <stp/>
        <stp>T&amp;T1</stp>
        <stp>PRE</stp>
        <stp>253</stp>
        <tr r="H261" s="1"/>
      </tp>
      <tp>
        <v>7347.25</v>
        <stp/>
        <stp>T&amp;T0</stp>
        <stp>PRE</stp>
        <stp>255</stp>
        <tr r="B263" s="1"/>
      </tp>
      <tp>
        <v>7347.25</v>
        <stp/>
        <stp>T&amp;T1</stp>
        <stp>PRE</stp>
        <stp>254</stp>
        <tr r="H262" s="1"/>
      </tp>
      <tp>
        <v>7347.25</v>
        <stp/>
        <stp>T&amp;T0</stp>
        <stp>PRE</stp>
        <stp>254</stp>
        <tr r="B262" s="1"/>
      </tp>
      <tp>
        <v>7347</v>
        <stp/>
        <stp>T&amp;T1</stp>
        <stp>PRE</stp>
        <stp>255</stp>
        <tr r="H263" s="1"/>
      </tp>
      <tp>
        <v>7347</v>
        <stp/>
        <stp>T&amp;T0</stp>
        <stp>PRE</stp>
        <stp>257</stp>
        <tr r="B265" s="1"/>
      </tp>
      <tp>
        <v>7347</v>
        <stp/>
        <stp>T&amp;T1</stp>
        <stp>PRE</stp>
        <stp>256</stp>
        <tr r="H264" s="1"/>
      </tp>
      <tp>
        <v>7347.25</v>
        <stp/>
        <stp>T&amp;T0</stp>
        <stp>PRE</stp>
        <stp>256</stp>
        <tr r="B264" s="1"/>
      </tp>
      <tp>
        <v>7347.25</v>
        <stp/>
        <stp>T&amp;T1</stp>
        <stp>PRE</stp>
        <stp>257</stp>
        <tr r="H265" s="1"/>
      </tp>
      <tp>
        <v>7347.25</v>
        <stp/>
        <stp>T&amp;T0</stp>
        <stp>PRE</stp>
        <stp>259</stp>
        <tr r="B267" s="1"/>
      </tp>
      <tp>
        <v>1</v>
        <stp/>
        <stp>T&amp;T0</stp>
        <stp>QUL</stp>
        <stp>320</stp>
        <tr r="C328" s="1"/>
      </tp>
      <tp>
        <v>7347.25</v>
        <stp/>
        <stp>T&amp;T1</stp>
        <stp>PRE</stp>
        <stp>258</stp>
        <tr r="H266" s="1"/>
      </tp>
      <tp>
        <v>2</v>
        <stp/>
        <stp>T&amp;T1</stp>
        <stp>QUL</stp>
        <stp>321</stp>
        <tr r="I329" s="1"/>
      </tp>
      <tp>
        <v>7347</v>
        <stp/>
        <stp>T&amp;T0</stp>
        <stp>PRE</stp>
        <stp>258</stp>
        <tr r="B266" s="1"/>
      </tp>
      <tp>
        <v>1</v>
        <stp/>
        <stp>T&amp;T0</stp>
        <stp>QUL</stp>
        <stp>321</stp>
        <tr r="C329" s="1"/>
      </tp>
      <tp>
        <v>7347.25</v>
        <stp/>
        <stp>T&amp;T1</stp>
        <stp>PRE</stp>
        <stp>259</stp>
        <tr r="H267" s="1"/>
      </tp>
      <tp>
        <v>2</v>
        <stp/>
        <stp>T&amp;T1</stp>
        <stp>QUL</stp>
        <stp>320</stp>
        <tr r="I328" s="1"/>
      </tp>
      <tp>
        <v>3</v>
        <stp/>
        <stp>T&amp;T0</stp>
        <stp>QUL</stp>
        <stp>322</stp>
        <tr r="C330" s="1"/>
      </tp>
      <tp>
        <v>1</v>
        <stp/>
        <stp>T&amp;T1</stp>
        <stp>QUL</stp>
        <stp>323</stp>
        <tr r="I331" s="1"/>
      </tp>
      <tp>
        <v>2</v>
        <stp/>
        <stp>T&amp;T0</stp>
        <stp>QUL</stp>
        <stp>323</stp>
        <tr r="C331" s="1"/>
      </tp>
      <tp>
        <v>6</v>
        <stp/>
        <stp>T&amp;T1</stp>
        <stp>QUL</stp>
        <stp>322</stp>
        <tr r="I330" s="1"/>
      </tp>
      <tp>
        <v>1</v>
        <stp/>
        <stp>T&amp;T0</stp>
        <stp>QUL</stp>
        <stp>324</stp>
        <tr r="C332" s="1"/>
      </tp>
      <tp>
        <v>8</v>
        <stp/>
        <stp>T&amp;T1</stp>
        <stp>QUL</stp>
        <stp>325</stp>
        <tr r="I333" s="1"/>
      </tp>
      <tp>
        <v>3</v>
        <stp/>
        <stp>T&amp;T0</stp>
        <stp>QUL</stp>
        <stp>325</stp>
        <tr r="C333" s="1"/>
      </tp>
      <tp>
        <v>3</v>
        <stp/>
        <stp>T&amp;T1</stp>
        <stp>QUL</stp>
        <stp>324</stp>
        <tr r="I332" s="1"/>
      </tp>
      <tp>
        <v>2</v>
        <stp/>
        <stp>T&amp;T0</stp>
        <stp>QUL</stp>
        <stp>326</stp>
        <tr r="C334" s="1"/>
      </tp>
      <tp>
        <v>3</v>
        <stp/>
        <stp>T&amp;T1</stp>
        <stp>QUL</stp>
        <stp>327</stp>
        <tr r="I335" s="1"/>
      </tp>
      <tp>
        <v>1</v>
        <stp/>
        <stp>T&amp;T0</stp>
        <stp>QUL</stp>
        <stp>327</stp>
        <tr r="C335" s="1"/>
      </tp>
      <tp>
        <v>5</v>
        <stp/>
        <stp>T&amp;T1</stp>
        <stp>QUL</stp>
        <stp>326</stp>
        <tr r="I334" s="1"/>
      </tp>
      <tp>
        <v>7347.5</v>
        <stp/>
        <stp>T&amp;T0</stp>
        <stp>PRE</stp>
        <stp>221</stp>
        <tr r="B229" s="1"/>
      </tp>
      <tp>
        <v>1</v>
        <stp/>
        <stp>T&amp;T0</stp>
        <stp>QUL</stp>
        <stp>358</stp>
        <tr r="C366" s="1"/>
      </tp>
      <tp>
        <v>7347.25</v>
        <stp/>
        <stp>T&amp;T1</stp>
        <stp>PRE</stp>
        <stp>220</stp>
        <tr r="H228" s="1"/>
      </tp>
      <tp>
        <v>1</v>
        <stp/>
        <stp>T&amp;T1</stp>
        <stp>QUL</stp>
        <stp>359</stp>
        <tr r="I367" s="1"/>
      </tp>
      <tp>
        <v>7347.5</v>
        <stp/>
        <stp>T&amp;T0</stp>
        <stp>PRE</stp>
        <stp>220</stp>
        <tr r="B228" s="1"/>
      </tp>
      <tp>
        <v>1</v>
        <stp/>
        <stp>T&amp;T0</stp>
        <stp>QUL</stp>
        <stp>359</stp>
        <tr r="C367" s="1"/>
      </tp>
      <tp>
        <v>7347.25</v>
        <stp/>
        <stp>T&amp;T1</stp>
        <stp>PRE</stp>
        <stp>221</stp>
        <tr r="H229" s="1"/>
      </tp>
      <tp>
        <v>1</v>
        <stp/>
        <stp>T&amp;T1</stp>
        <stp>QUL</stp>
        <stp>358</stp>
        <tr r="I366" s="1"/>
      </tp>
      <tp>
        <v>7347.5</v>
        <stp/>
        <stp>T&amp;T0</stp>
        <stp>PRE</stp>
        <stp>223</stp>
        <tr r="B231" s="1"/>
      </tp>
      <tp>
        <v>7347.25</v>
        <stp/>
        <stp>T&amp;T1</stp>
        <stp>PRE</stp>
        <stp>222</stp>
        <tr r="H230" s="1"/>
      </tp>
      <tp>
        <v>7347.5</v>
        <stp/>
        <stp>T&amp;T0</stp>
        <stp>PRE</stp>
        <stp>222</stp>
        <tr r="B230" s="1"/>
      </tp>
      <tp>
        <v>7347.25</v>
        <stp/>
        <stp>T&amp;T1</stp>
        <stp>PRE</stp>
        <stp>223</stp>
        <tr r="H231" s="1"/>
      </tp>
      <tp>
        <v>7347.5</v>
        <stp/>
        <stp>T&amp;T0</stp>
        <stp>PRE</stp>
        <stp>225</stp>
        <tr r="B233" s="1"/>
      </tp>
      <tp>
        <v>7347</v>
        <stp/>
        <stp>T&amp;T1</stp>
        <stp>PRE</stp>
        <stp>224</stp>
        <tr r="H232" s="1"/>
      </tp>
      <tp>
        <v>7347.5</v>
        <stp/>
        <stp>T&amp;T0</stp>
        <stp>PRE</stp>
        <stp>224</stp>
        <tr r="B232" s="1"/>
      </tp>
      <tp>
        <v>7346.75</v>
        <stp/>
        <stp>T&amp;T1</stp>
        <stp>PRE</stp>
        <stp>225</stp>
        <tr r="H233" s="1"/>
      </tp>
      <tp>
        <v>7347.25</v>
        <stp/>
        <stp>T&amp;T0</stp>
        <stp>PRE</stp>
        <stp>227</stp>
        <tr r="B235" s="1"/>
      </tp>
      <tp>
        <v>7346.75</v>
        <stp/>
        <stp>T&amp;T1</stp>
        <stp>PRE</stp>
        <stp>226</stp>
        <tr r="H234" s="1"/>
      </tp>
      <tp>
        <v>7347.5</v>
        <stp/>
        <stp>T&amp;T0</stp>
        <stp>PRE</stp>
        <stp>226</stp>
        <tr r="B234" s="1"/>
      </tp>
      <tp>
        <v>7346.75</v>
        <stp/>
        <stp>T&amp;T1</stp>
        <stp>PRE</stp>
        <stp>227</stp>
        <tr r="H235" s="1"/>
      </tp>
      <tp>
        <v>7347.25</v>
        <stp/>
        <stp>T&amp;T0</stp>
        <stp>PRE</stp>
        <stp>229</stp>
        <tr r="B237" s="1"/>
      </tp>
      <tp>
        <v>1</v>
        <stp/>
        <stp>T&amp;T0</stp>
        <stp>QUL</stp>
        <stp>350</stp>
        <tr r="C358" s="1"/>
      </tp>
      <tp>
        <v>7346.75</v>
        <stp/>
        <stp>T&amp;T1</stp>
        <stp>PRE</stp>
        <stp>228</stp>
        <tr r="H236" s="1"/>
      </tp>
      <tp>
        <v>2</v>
        <stp/>
        <stp>T&amp;T1</stp>
        <stp>QUL</stp>
        <stp>351</stp>
        <tr r="I359" s="1"/>
      </tp>
      <tp>
        <v>7347.25</v>
        <stp/>
        <stp>T&amp;T0</stp>
        <stp>PRE</stp>
        <stp>228</stp>
        <tr r="B236" s="1"/>
      </tp>
      <tp>
        <v>2</v>
        <stp/>
        <stp>T&amp;T0</stp>
        <stp>QUL</stp>
        <stp>351</stp>
        <tr r="C359" s="1"/>
      </tp>
      <tp>
        <v>7346.75</v>
        <stp/>
        <stp>T&amp;T1</stp>
        <stp>PRE</stp>
        <stp>229</stp>
        <tr r="H237" s="1"/>
      </tp>
      <tp>
        <v>1</v>
        <stp/>
        <stp>T&amp;T1</stp>
        <stp>QUL</stp>
        <stp>350</stp>
        <tr r="I358" s="1"/>
      </tp>
      <tp>
        <v>1</v>
        <stp/>
        <stp>T&amp;T0</stp>
        <stp>QUL</stp>
        <stp>352</stp>
        <tr r="C360" s="1"/>
      </tp>
      <tp>
        <v>4</v>
        <stp/>
        <stp>T&amp;T1</stp>
        <stp>QUL</stp>
        <stp>353</stp>
        <tr r="I361" s="1"/>
      </tp>
      <tp>
        <v>4</v>
        <stp/>
        <stp>T&amp;T0</stp>
        <stp>QUL</stp>
        <stp>353</stp>
        <tr r="C361" s="1"/>
      </tp>
      <tp>
        <v>8</v>
        <stp/>
        <stp>T&amp;T1</stp>
        <stp>QUL</stp>
        <stp>352</stp>
        <tr r="I360" s="1"/>
      </tp>
      <tp>
        <v>1</v>
        <stp/>
        <stp>T&amp;T0</stp>
        <stp>QUL</stp>
        <stp>354</stp>
        <tr r="C362" s="1"/>
      </tp>
      <tp>
        <v>1</v>
        <stp/>
        <stp>T&amp;T1</stp>
        <stp>QUL</stp>
        <stp>355</stp>
        <tr r="I363" s="1"/>
      </tp>
      <tp>
        <v>1</v>
        <stp/>
        <stp>T&amp;T0</stp>
        <stp>QUL</stp>
        <stp>355</stp>
        <tr r="C363" s="1"/>
      </tp>
      <tp>
        <v>1</v>
        <stp/>
        <stp>T&amp;T1</stp>
        <stp>QUL</stp>
        <stp>354</stp>
        <tr r="I362" s="1"/>
      </tp>
      <tp>
        <v>1</v>
        <stp/>
        <stp>T&amp;T0</stp>
        <stp>QUL</stp>
        <stp>356</stp>
        <tr r="C364" s="1"/>
      </tp>
      <tp>
        <v>3</v>
        <stp/>
        <stp>T&amp;T1</stp>
        <stp>QUL</stp>
        <stp>357</stp>
        <tr r="I365" s="1"/>
      </tp>
      <tp>
        <v>1</v>
        <stp/>
        <stp>T&amp;T0</stp>
        <stp>QUL</stp>
        <stp>357</stp>
        <tr r="C365" s="1"/>
      </tp>
      <tp>
        <v>1</v>
        <stp/>
        <stp>T&amp;T1</stp>
        <stp>QUL</stp>
        <stp>356</stp>
        <tr r="I364" s="1"/>
      </tp>
      <tp>
        <v>7347</v>
        <stp/>
        <stp>T&amp;T0</stp>
        <stp>PRE</stp>
        <stp>231</stp>
        <tr r="B239" s="1"/>
      </tp>
      <tp>
        <v>1</v>
        <stp/>
        <stp>T&amp;T0</stp>
        <stp>QUL</stp>
        <stp>348</stp>
        <tr r="C356" s="1"/>
      </tp>
      <tp>
        <v>7346.75</v>
        <stp/>
        <stp>T&amp;T1</stp>
        <stp>PRE</stp>
        <stp>230</stp>
        <tr r="H238" s="1"/>
      </tp>
      <tp>
        <v>1</v>
        <stp/>
        <stp>T&amp;T1</stp>
        <stp>QUL</stp>
        <stp>349</stp>
        <tr r="I357" s="1"/>
      </tp>
      <tp>
        <v>7347.25</v>
        <stp/>
        <stp>T&amp;T0</stp>
        <stp>PRE</stp>
        <stp>230</stp>
        <tr r="B238" s="1"/>
      </tp>
      <tp>
        <v>1</v>
        <stp/>
        <stp>T&amp;T0</stp>
        <stp>QUL</stp>
        <stp>349</stp>
        <tr r="C357" s="1"/>
      </tp>
      <tp>
        <v>7346.75</v>
        <stp/>
        <stp>T&amp;T1</stp>
        <stp>PRE</stp>
        <stp>231</stp>
        <tr r="H239" s="1"/>
      </tp>
      <tp>
        <v>7</v>
        <stp/>
        <stp>T&amp;T1</stp>
        <stp>QUL</stp>
        <stp>348</stp>
        <tr r="I356" s="1"/>
      </tp>
      <tp>
        <v>7347</v>
        <stp/>
        <stp>T&amp;T0</stp>
        <stp>PRE</stp>
        <stp>233</stp>
        <tr r="B241" s="1"/>
      </tp>
      <tp>
        <v>7346.75</v>
        <stp/>
        <stp>T&amp;T1</stp>
        <stp>PRE</stp>
        <stp>232</stp>
        <tr r="H240" s="1"/>
      </tp>
      <tp>
        <v>7347</v>
        <stp/>
        <stp>T&amp;T0</stp>
        <stp>PRE</stp>
        <stp>232</stp>
        <tr r="B240" s="1"/>
      </tp>
      <tp>
        <v>7346.75</v>
        <stp/>
        <stp>T&amp;T1</stp>
        <stp>PRE</stp>
        <stp>233</stp>
        <tr r="H241" s="1"/>
      </tp>
      <tp>
        <v>7346.75</v>
        <stp/>
        <stp>T&amp;T0</stp>
        <stp>PRE</stp>
        <stp>235</stp>
        <tr r="B243" s="1"/>
      </tp>
      <tp>
        <v>7346.75</v>
        <stp/>
        <stp>T&amp;T1</stp>
        <stp>PRE</stp>
        <stp>234</stp>
        <tr r="H242" s="1"/>
      </tp>
      <tp>
        <v>7346.75</v>
        <stp/>
        <stp>T&amp;T0</stp>
        <stp>PRE</stp>
        <stp>234</stp>
        <tr r="B242" s="1"/>
      </tp>
      <tp>
        <v>7346.75</v>
        <stp/>
        <stp>T&amp;T1</stp>
        <stp>PRE</stp>
        <stp>235</stp>
        <tr r="H243" s="1"/>
      </tp>
      <tp>
        <v>7346.75</v>
        <stp/>
        <stp>T&amp;T0</stp>
        <stp>PRE</stp>
        <stp>237</stp>
        <tr r="B245" s="1"/>
      </tp>
      <tp>
        <v>7346.75</v>
        <stp/>
        <stp>T&amp;T1</stp>
        <stp>PRE</stp>
        <stp>236</stp>
        <tr r="H244" s="1"/>
      </tp>
      <tp>
        <v>7346.75</v>
        <stp/>
        <stp>T&amp;T0</stp>
        <stp>PRE</stp>
        <stp>236</stp>
        <tr r="B244" s="1"/>
      </tp>
      <tp>
        <v>7346.5</v>
        <stp/>
        <stp>T&amp;T1</stp>
        <stp>PRE</stp>
        <stp>237</stp>
        <tr r="H245" s="1"/>
      </tp>
      <tp>
        <v>7347</v>
        <stp/>
        <stp>T&amp;T0</stp>
        <stp>PRE</stp>
        <stp>239</stp>
        <tr r="B247" s="1"/>
      </tp>
      <tp>
        <v>1</v>
        <stp/>
        <stp>T&amp;T0</stp>
        <stp>QUL</stp>
        <stp>340</stp>
        <tr r="C348" s="1"/>
      </tp>
      <tp>
        <v>7346.5</v>
        <stp/>
        <stp>T&amp;T1</stp>
        <stp>PRE</stp>
        <stp>238</stp>
        <tr r="H246" s="1"/>
      </tp>
      <tp>
        <v>6</v>
        <stp/>
        <stp>T&amp;T1</stp>
        <stp>QUL</stp>
        <stp>341</stp>
        <tr r="I349" s="1"/>
      </tp>
      <tp>
        <v>7347</v>
        <stp/>
        <stp>T&amp;T0</stp>
        <stp>PRE</stp>
        <stp>238</stp>
        <tr r="B246" s="1"/>
      </tp>
      <tp>
        <v>1</v>
        <stp/>
        <stp>T&amp;T0</stp>
        <stp>QUL</stp>
        <stp>341</stp>
        <tr r="C349" s="1"/>
      </tp>
      <tp>
        <v>7346.75</v>
        <stp/>
        <stp>T&amp;T1</stp>
        <stp>PRE</stp>
        <stp>239</stp>
        <tr r="H247" s="1"/>
      </tp>
      <tp>
        <v>2</v>
        <stp/>
        <stp>T&amp;T1</stp>
        <stp>QUL</stp>
        <stp>340</stp>
        <tr r="I348" s="1"/>
      </tp>
      <tp>
        <v>5</v>
        <stp/>
        <stp>T&amp;T0</stp>
        <stp>QUL</stp>
        <stp>342</stp>
        <tr r="C350" s="1"/>
      </tp>
      <tp>
        <v>6</v>
        <stp/>
        <stp>T&amp;T1</stp>
        <stp>QUL</stp>
        <stp>343</stp>
        <tr r="I351" s="1"/>
      </tp>
      <tp>
        <v>1</v>
        <stp/>
        <stp>T&amp;T0</stp>
        <stp>QUL</stp>
        <stp>343</stp>
        <tr r="C351" s="1"/>
      </tp>
      <tp>
        <v>6</v>
        <stp/>
        <stp>T&amp;T1</stp>
        <stp>QUL</stp>
        <stp>342</stp>
        <tr r="I350" s="1"/>
      </tp>
      <tp>
        <v>2</v>
        <stp/>
        <stp>T&amp;T0</stp>
        <stp>QUL</stp>
        <stp>344</stp>
        <tr r="C352" s="1"/>
      </tp>
      <tp>
        <v>17</v>
        <stp/>
        <stp>T&amp;T1</stp>
        <stp>QUL</stp>
        <stp>345</stp>
        <tr r="I353" s="1"/>
      </tp>
      <tp>
        <v>2</v>
        <stp/>
        <stp>T&amp;T0</stp>
        <stp>QUL</stp>
        <stp>345</stp>
        <tr r="C353" s="1"/>
      </tp>
      <tp>
        <v>3</v>
        <stp/>
        <stp>T&amp;T1</stp>
        <stp>QUL</stp>
        <stp>344</stp>
        <tr r="I352" s="1"/>
      </tp>
      <tp>
        <v>1</v>
        <stp/>
        <stp>T&amp;T0</stp>
        <stp>QUL</stp>
        <stp>346</stp>
        <tr r="C354" s="1"/>
      </tp>
      <tp>
        <v>1</v>
        <stp/>
        <stp>T&amp;T1</stp>
        <stp>QUL</stp>
        <stp>347</stp>
        <tr r="I355" s="1"/>
      </tp>
      <tp>
        <v>1</v>
        <stp/>
        <stp>T&amp;T0</stp>
        <stp>QUL</stp>
        <stp>347</stp>
        <tr r="C355" s="1"/>
      </tp>
      <tp>
        <v>1</v>
        <stp/>
        <stp>T&amp;T1</stp>
        <stp>QUL</stp>
        <stp>346</stp>
        <tr r="I354" s="1"/>
      </tp>
      <tp>
        <v>7346.75</v>
        <stp/>
        <stp>T&amp;T0</stp>
        <stp>PRE</stp>
        <stp>201</stp>
        <tr r="B209" s="1"/>
      </tp>
      <tp>
        <v>1</v>
        <stp/>
        <stp>T&amp;T0</stp>
        <stp>QUL</stp>
        <stp>378</stp>
        <tr r="C386" s="1"/>
      </tp>
      <tp>
        <v>7346.5</v>
        <stp/>
        <stp>T&amp;T1</stp>
        <stp>PRE</stp>
        <stp>200</stp>
        <tr r="H208" s="1"/>
      </tp>
      <tp>
        <v>1</v>
        <stp/>
        <stp>T&amp;T1</stp>
        <stp>QUL</stp>
        <stp>379</stp>
        <tr r="I387" s="1"/>
      </tp>
      <tp>
        <v>7346.75</v>
        <stp/>
        <stp>T&amp;T0</stp>
        <stp>PRE</stp>
        <stp>200</stp>
        <tr r="B208" s="1"/>
      </tp>
      <tp>
        <v>1</v>
        <stp/>
        <stp>T&amp;T0</stp>
        <stp>QUL</stp>
        <stp>379</stp>
        <tr r="C387" s="1"/>
      </tp>
      <tp>
        <v>7346.5</v>
        <stp/>
        <stp>T&amp;T1</stp>
        <stp>PRE</stp>
        <stp>201</stp>
        <tr r="H209" s="1"/>
      </tp>
      <tp>
        <v>1</v>
        <stp/>
        <stp>T&amp;T1</stp>
        <stp>QUL</stp>
        <stp>378</stp>
        <tr r="I386" s="1"/>
      </tp>
      <tp>
        <v>7346.75</v>
        <stp/>
        <stp>T&amp;T0</stp>
        <stp>PRE</stp>
        <stp>203</stp>
        <tr r="B211" s="1"/>
      </tp>
      <tp>
        <v>7346.5</v>
        <stp/>
        <stp>T&amp;T1</stp>
        <stp>PRE</stp>
        <stp>202</stp>
        <tr r="H210" s="1"/>
      </tp>
      <tp>
        <v>7346.5</v>
        <stp/>
        <stp>T&amp;T0</stp>
        <stp>PRE</stp>
        <stp>202</stp>
        <tr r="B210" s="1"/>
      </tp>
      <tp>
        <v>7346.5</v>
        <stp/>
        <stp>T&amp;T1</stp>
        <stp>PRE</stp>
        <stp>203</stp>
        <tr r="H211" s="1"/>
      </tp>
      <tp>
        <v>7346.75</v>
        <stp/>
        <stp>T&amp;T0</stp>
        <stp>PRE</stp>
        <stp>205</stp>
        <tr r="B213" s="1"/>
      </tp>
      <tp>
        <v>7346.5</v>
        <stp/>
        <stp>T&amp;T1</stp>
        <stp>PRE</stp>
        <stp>204</stp>
        <tr r="H212" s="1"/>
      </tp>
      <tp>
        <v>7346.75</v>
        <stp/>
        <stp>T&amp;T0</stp>
        <stp>PRE</stp>
        <stp>204</stp>
        <tr r="B212" s="1"/>
      </tp>
      <tp>
        <v>7346.5</v>
        <stp/>
        <stp>T&amp;T1</stp>
        <stp>PRE</stp>
        <stp>205</stp>
        <tr r="H213" s="1"/>
      </tp>
      <tp>
        <v>7346.75</v>
        <stp/>
        <stp>T&amp;T0</stp>
        <stp>PRE</stp>
        <stp>207</stp>
        <tr r="B215" s="1"/>
      </tp>
      <tp>
        <v>7346.5</v>
        <stp/>
        <stp>T&amp;T1</stp>
        <stp>PRE</stp>
        <stp>206</stp>
        <tr r="H214" s="1"/>
      </tp>
      <tp>
        <v>7346.75</v>
        <stp/>
        <stp>T&amp;T0</stp>
        <stp>PRE</stp>
        <stp>206</stp>
        <tr r="B214" s="1"/>
      </tp>
      <tp>
        <v>7346.5</v>
        <stp/>
        <stp>T&amp;T1</stp>
        <stp>PRE</stp>
        <stp>207</stp>
        <tr r="H215" s="1"/>
      </tp>
      <tp>
        <v>7346.75</v>
        <stp/>
        <stp>T&amp;T0</stp>
        <stp>PRE</stp>
        <stp>209</stp>
        <tr r="B217" s="1"/>
      </tp>
      <tp>
        <v>1</v>
        <stp/>
        <stp>T&amp;T0</stp>
        <stp>QUL</stp>
        <stp>370</stp>
        <tr r="C378" s="1"/>
      </tp>
      <tp>
        <v>7346.25</v>
        <stp/>
        <stp>T&amp;T1</stp>
        <stp>PRE</stp>
        <stp>208</stp>
        <tr r="H216" s="1"/>
      </tp>
      <tp>
        <v>1</v>
        <stp/>
        <stp>T&amp;T1</stp>
        <stp>QUL</stp>
        <stp>371</stp>
        <tr r="I379" s="1"/>
      </tp>
      <tp>
        <v>7346.75</v>
        <stp/>
        <stp>T&amp;T0</stp>
        <stp>PRE</stp>
        <stp>208</stp>
        <tr r="B216" s="1"/>
      </tp>
      <tp>
        <v>2</v>
        <stp/>
        <stp>T&amp;T0</stp>
        <stp>QUL</stp>
        <stp>371</stp>
        <tr r="C379" s="1"/>
      </tp>
      <tp>
        <v>7346.25</v>
        <stp/>
        <stp>T&amp;T1</stp>
        <stp>PRE</stp>
        <stp>209</stp>
        <tr r="H217" s="1"/>
      </tp>
      <tp>
        <v>5</v>
        <stp/>
        <stp>T&amp;T1</stp>
        <stp>QUL</stp>
        <stp>370</stp>
        <tr r="I378" s="1"/>
      </tp>
      <tp>
        <v>1</v>
        <stp/>
        <stp>T&amp;T0</stp>
        <stp>QUL</stp>
        <stp>372</stp>
        <tr r="C380" s="1"/>
      </tp>
      <tp>
        <v>4</v>
        <stp/>
        <stp>T&amp;T1</stp>
        <stp>QUL</stp>
        <stp>373</stp>
        <tr r="I381" s="1"/>
      </tp>
      <tp>
        <v>1</v>
        <stp/>
        <stp>T&amp;T0</stp>
        <stp>QUL</stp>
        <stp>373</stp>
        <tr r="C381" s="1"/>
      </tp>
      <tp>
        <v>1</v>
        <stp/>
        <stp>T&amp;T1</stp>
        <stp>QUL</stp>
        <stp>372</stp>
        <tr r="I380" s="1"/>
      </tp>
      <tp>
        <v>1</v>
        <stp/>
        <stp>T&amp;T0</stp>
        <stp>QUL</stp>
        <stp>374</stp>
        <tr r="C382" s="1"/>
      </tp>
      <tp>
        <v>5</v>
        <stp/>
        <stp>T&amp;T1</stp>
        <stp>QUL</stp>
        <stp>375</stp>
        <tr r="I383" s="1"/>
      </tp>
      <tp>
        <v>2</v>
        <stp/>
        <stp>T&amp;T0</stp>
        <stp>QUL</stp>
        <stp>375</stp>
        <tr r="C383" s="1"/>
      </tp>
      <tp>
        <v>16</v>
        <stp/>
        <stp>T&amp;T1</stp>
        <stp>QUL</stp>
        <stp>374</stp>
        <tr r="I382" s="1"/>
      </tp>
      <tp>
        <v>1</v>
        <stp/>
        <stp>T&amp;T0</stp>
        <stp>QUL</stp>
        <stp>376</stp>
        <tr r="C384" s="1"/>
      </tp>
      <tp>
        <v>1</v>
        <stp/>
        <stp>T&amp;T1</stp>
        <stp>QUL</stp>
        <stp>377</stp>
        <tr r="I385" s="1"/>
      </tp>
      <tp>
        <v>1</v>
        <stp/>
        <stp>T&amp;T0</stp>
        <stp>QUL</stp>
        <stp>377</stp>
        <tr r="C385" s="1"/>
      </tp>
      <tp>
        <v>1</v>
        <stp/>
        <stp>T&amp;T1</stp>
        <stp>QUL</stp>
        <stp>376</stp>
        <tr r="I384" s="1"/>
      </tp>
      <tp>
        <v>7346.75</v>
        <stp/>
        <stp>T&amp;T0</stp>
        <stp>PRE</stp>
        <stp>211</stp>
        <tr r="B219" s="1"/>
      </tp>
      <tp>
        <v>1</v>
        <stp/>
        <stp>T&amp;T0</stp>
        <stp>QUL</stp>
        <stp>368</stp>
        <tr r="C376" s="1"/>
      </tp>
      <tp>
        <v>7346.25</v>
        <stp/>
        <stp>T&amp;T1</stp>
        <stp>PRE</stp>
        <stp>210</stp>
        <tr r="H218" s="1"/>
      </tp>
      <tp>
        <v>1</v>
        <stp/>
        <stp>T&amp;T1</stp>
        <stp>QUL</stp>
        <stp>369</stp>
        <tr r="I377" s="1"/>
      </tp>
      <tp>
        <v>7346.75</v>
        <stp/>
        <stp>T&amp;T0</stp>
        <stp>PRE</stp>
        <stp>210</stp>
        <tr r="B218" s="1"/>
      </tp>
      <tp>
        <v>1</v>
        <stp/>
        <stp>T&amp;T0</stp>
        <stp>QUL</stp>
        <stp>369</stp>
        <tr r="C377" s="1"/>
      </tp>
      <tp>
        <v>7346.25</v>
        <stp/>
        <stp>T&amp;T1</stp>
        <stp>PRE</stp>
        <stp>211</stp>
        <tr r="H219" s="1"/>
      </tp>
      <tp>
        <v>1</v>
        <stp/>
        <stp>T&amp;T1</stp>
        <stp>QUL</stp>
        <stp>368</stp>
        <tr r="I376" s="1"/>
      </tp>
      <tp>
        <v>7346.75</v>
        <stp/>
        <stp>T&amp;T0</stp>
        <stp>PRE</stp>
        <stp>213</stp>
        <tr r="B221" s="1"/>
      </tp>
      <tp>
        <v>7346.5</v>
        <stp/>
        <stp>T&amp;T1</stp>
        <stp>PRE</stp>
        <stp>212</stp>
        <tr r="H220" s="1"/>
      </tp>
      <tp>
        <v>7346.75</v>
        <stp/>
        <stp>T&amp;T0</stp>
        <stp>PRE</stp>
        <stp>212</stp>
        <tr r="B220" s="1"/>
      </tp>
      <tp>
        <v>7346.5</v>
        <stp/>
        <stp>T&amp;T1</stp>
        <stp>PRE</stp>
        <stp>213</stp>
        <tr r="H221" s="1"/>
      </tp>
      <tp>
        <v>7346.75</v>
        <stp/>
        <stp>T&amp;T0</stp>
        <stp>PRE</stp>
        <stp>215</stp>
        <tr r="B223" s="1"/>
      </tp>
      <tp>
        <v>7346.5</v>
        <stp/>
        <stp>T&amp;T1</stp>
        <stp>PRE</stp>
        <stp>214</stp>
        <tr r="H222" s="1"/>
      </tp>
      <tp>
        <v>7346.75</v>
        <stp/>
        <stp>T&amp;T0</stp>
        <stp>PRE</stp>
        <stp>214</stp>
        <tr r="B222" s="1"/>
      </tp>
      <tp>
        <v>7346.75</v>
        <stp/>
        <stp>T&amp;T1</stp>
        <stp>PRE</stp>
        <stp>215</stp>
        <tr r="H223" s="1"/>
      </tp>
      <tp>
        <v>7346.75</v>
        <stp/>
        <stp>T&amp;T0</stp>
        <stp>PRE</stp>
        <stp>217</stp>
        <tr r="B225" s="1"/>
      </tp>
      <tp>
        <v>7347</v>
        <stp/>
        <stp>T&amp;T1</stp>
        <stp>PRE</stp>
        <stp>216</stp>
        <tr r="H224" s="1"/>
      </tp>
      <tp>
        <v>7346.75</v>
        <stp/>
        <stp>T&amp;T0</stp>
        <stp>PRE</stp>
        <stp>216</stp>
        <tr r="B224" s="1"/>
      </tp>
      <tp>
        <v>7347.25</v>
        <stp/>
        <stp>T&amp;T1</stp>
        <stp>PRE</stp>
        <stp>217</stp>
        <tr r="H225" s="1"/>
      </tp>
      <tp>
        <v>7347.5</v>
        <stp/>
        <stp>T&amp;T0</stp>
        <stp>PRE</stp>
        <stp>219</stp>
        <tr r="B227" s="1"/>
      </tp>
      <tp>
        <v>1</v>
        <stp/>
        <stp>T&amp;T0</stp>
        <stp>QUL</stp>
        <stp>360</stp>
        <tr r="C368" s="1"/>
      </tp>
      <tp>
        <v>7347.25</v>
        <stp/>
        <stp>T&amp;T1</stp>
        <stp>PRE</stp>
        <stp>218</stp>
        <tr r="H226" s="1"/>
      </tp>
      <tp>
        <v>5</v>
        <stp/>
        <stp>T&amp;T1</stp>
        <stp>QUL</stp>
        <stp>361</stp>
        <tr r="I369" s="1"/>
      </tp>
      <tp>
        <v>7347.5</v>
        <stp/>
        <stp>T&amp;T0</stp>
        <stp>PRE</stp>
        <stp>218</stp>
        <tr r="B226" s="1"/>
      </tp>
      <tp>
        <v>3</v>
        <stp/>
        <stp>T&amp;T0</stp>
        <stp>QUL</stp>
        <stp>361</stp>
        <tr r="C369" s="1"/>
      </tp>
      <tp>
        <v>7347</v>
        <stp/>
        <stp>T&amp;T1</stp>
        <stp>PRE</stp>
        <stp>219</stp>
        <tr r="H227" s="1"/>
      </tp>
      <tp>
        <v>1</v>
        <stp/>
        <stp>T&amp;T1</stp>
        <stp>QUL</stp>
        <stp>360</stp>
        <tr r="I368" s="1"/>
      </tp>
      <tp>
        <v>1</v>
        <stp/>
        <stp>T&amp;T0</stp>
        <stp>QUL</stp>
        <stp>362</stp>
        <tr r="C370" s="1"/>
      </tp>
      <tp>
        <v>1</v>
        <stp/>
        <stp>T&amp;T1</stp>
        <stp>QUL</stp>
        <stp>363</stp>
        <tr r="I371" s="1"/>
      </tp>
      <tp>
        <v>1</v>
        <stp/>
        <stp>T&amp;T0</stp>
        <stp>QUL</stp>
        <stp>363</stp>
        <tr r="C371" s="1"/>
      </tp>
      <tp>
        <v>2</v>
        <stp/>
        <stp>T&amp;T1</stp>
        <stp>QUL</stp>
        <stp>362</stp>
        <tr r="I370" s="1"/>
      </tp>
      <tp>
        <v>1</v>
        <stp/>
        <stp>T&amp;T0</stp>
        <stp>QUL</stp>
        <stp>364</stp>
        <tr r="C372" s="1"/>
      </tp>
      <tp>
        <v>3</v>
        <stp/>
        <stp>T&amp;T1</stp>
        <stp>QUL</stp>
        <stp>365</stp>
        <tr r="I373" s="1"/>
      </tp>
      <tp>
        <v>1</v>
        <stp/>
        <stp>T&amp;T0</stp>
        <stp>QUL</stp>
        <stp>365</stp>
        <tr r="C373" s="1"/>
      </tp>
      <tp>
        <v>2</v>
        <stp/>
        <stp>T&amp;T1</stp>
        <stp>QUL</stp>
        <stp>364</stp>
        <tr r="I372" s="1"/>
      </tp>
      <tp>
        <v>1</v>
        <stp/>
        <stp>T&amp;T0</stp>
        <stp>QUL</stp>
        <stp>366</stp>
        <tr r="C374" s="1"/>
      </tp>
      <tp>
        <v>1</v>
        <stp/>
        <stp>T&amp;T1</stp>
        <stp>QUL</stp>
        <stp>367</stp>
        <tr r="I375" s="1"/>
      </tp>
      <tp>
        <v>2</v>
        <stp/>
        <stp>T&amp;T0</stp>
        <stp>QUL</stp>
        <stp>367</stp>
        <tr r="C375" s="1"/>
      </tp>
      <tp>
        <v>1</v>
        <stp/>
        <stp>T&amp;T1</stp>
        <stp>QUL</stp>
        <stp>366</stp>
        <tr r="I374" s="1"/>
      </tp>
      <tp>
        <v>1</v>
        <stp/>
        <stp>T&amp;T0</stp>
        <stp>QUL</stp>
        <stp>298</stp>
        <tr r="C306" s="1"/>
      </tp>
      <tp>
        <v>1</v>
        <stp/>
        <stp>T&amp;T1</stp>
        <stp>QUL</stp>
        <stp>299</stp>
        <tr r="I307" s="1"/>
      </tp>
      <tp>
        <v>5</v>
        <stp/>
        <stp>T&amp;T0</stp>
        <stp>QUL</stp>
        <stp>299</stp>
        <tr r="C307" s="1"/>
      </tp>
      <tp>
        <v>3</v>
        <stp/>
        <stp>T&amp;T1</stp>
        <stp>QUL</stp>
        <stp>298</stp>
        <tr r="I306" s="1"/>
      </tp>
      <tp>
        <v>1</v>
        <stp/>
        <stp>T&amp;T0</stp>
        <stp>QUL</stp>
        <stp>290</stp>
        <tr r="C298" s="1"/>
      </tp>
      <tp>
        <v>7</v>
        <stp/>
        <stp>T&amp;T1</stp>
        <stp>QUL</stp>
        <stp>291</stp>
        <tr r="I299" s="1"/>
      </tp>
      <tp>
        <v>2</v>
        <stp/>
        <stp>T&amp;T0</stp>
        <stp>QUL</stp>
        <stp>291</stp>
        <tr r="C299" s="1"/>
      </tp>
      <tp>
        <v>1</v>
        <stp/>
        <stp>T&amp;T1</stp>
        <stp>QUL</stp>
        <stp>290</stp>
        <tr r="I298" s="1"/>
      </tp>
      <tp>
        <v>2</v>
        <stp/>
        <stp>T&amp;T0</stp>
        <stp>QUL</stp>
        <stp>292</stp>
        <tr r="C300" s="1"/>
      </tp>
      <tp>
        <v>2</v>
        <stp/>
        <stp>T&amp;T1</stp>
        <stp>QUL</stp>
        <stp>293</stp>
        <tr r="I301" s="1"/>
      </tp>
      <tp>
        <v>2</v>
        <stp/>
        <stp>T&amp;T0</stp>
        <stp>QUL</stp>
        <stp>293</stp>
        <tr r="C301" s="1"/>
      </tp>
      <tp>
        <v>1</v>
        <stp/>
        <stp>T&amp;T1</stp>
        <stp>QUL</stp>
        <stp>292</stp>
        <tr r="I300" s="1"/>
      </tp>
      <tp>
        <v>1</v>
        <stp/>
        <stp>T&amp;T0</stp>
        <stp>QUL</stp>
        <stp>294</stp>
        <tr r="C302" s="1"/>
      </tp>
      <tp>
        <v>1</v>
        <stp/>
        <stp>T&amp;T1</stp>
        <stp>QUL</stp>
        <stp>295</stp>
        <tr r="I303" s="1"/>
      </tp>
      <tp>
        <v>1</v>
        <stp/>
        <stp>T&amp;T0</stp>
        <stp>QUL</stp>
        <stp>295</stp>
        <tr r="C303" s="1"/>
      </tp>
      <tp>
        <v>1</v>
        <stp/>
        <stp>T&amp;T1</stp>
        <stp>QUL</stp>
        <stp>294</stp>
        <tr r="I302" s="1"/>
      </tp>
      <tp>
        <v>3</v>
        <stp/>
        <stp>T&amp;T0</stp>
        <stp>QUL</stp>
        <stp>296</stp>
        <tr r="C304" s="1"/>
      </tp>
      <tp>
        <v>5</v>
        <stp/>
        <stp>T&amp;T1</stp>
        <stp>QUL</stp>
        <stp>297</stp>
        <tr r="I305" s="1"/>
      </tp>
      <tp>
        <v>1</v>
        <stp/>
        <stp>T&amp;T0</stp>
        <stp>QUL</stp>
        <stp>297</stp>
        <tr r="C305" s="1"/>
      </tp>
      <tp>
        <v>2</v>
        <stp/>
        <stp>T&amp;T1</stp>
        <stp>QUL</stp>
        <stp>296</stp>
        <tr r="I304" s="1"/>
      </tp>
      <tp>
        <v>1</v>
        <stp/>
        <stp>T&amp;T0</stp>
        <stp>QUL</stp>
        <stp>288</stp>
        <tr r="C296" s="1"/>
      </tp>
      <tp>
        <v>1</v>
        <stp/>
        <stp>T&amp;T1</stp>
        <stp>QUL</stp>
        <stp>289</stp>
        <tr r="I297" s="1"/>
      </tp>
      <tp>
        <v>2</v>
        <stp/>
        <stp>T&amp;T0</stp>
        <stp>QUL</stp>
        <stp>289</stp>
        <tr r="C297" s="1"/>
      </tp>
      <tp>
        <v>1</v>
        <stp/>
        <stp>T&amp;T1</stp>
        <stp>QUL</stp>
        <stp>288</stp>
        <tr r="I296" s="1"/>
      </tp>
      <tp>
        <v>1</v>
        <stp/>
        <stp>T&amp;T0</stp>
        <stp>QUL</stp>
        <stp>280</stp>
        <tr r="C288" s="1"/>
      </tp>
      <tp>
        <v>3</v>
        <stp/>
        <stp>T&amp;T1</stp>
        <stp>QUL</stp>
        <stp>281</stp>
        <tr r="I289" s="1"/>
      </tp>
      <tp>
        <v>1</v>
        <stp/>
        <stp>T&amp;T0</stp>
        <stp>QUL</stp>
        <stp>281</stp>
        <tr r="C289" s="1"/>
      </tp>
      <tp>
        <v>1</v>
        <stp/>
        <stp>T&amp;T1</stp>
        <stp>QUL</stp>
        <stp>280</stp>
        <tr r="I288" s="1"/>
      </tp>
      <tp>
        <v>1</v>
        <stp/>
        <stp>T&amp;T0</stp>
        <stp>QUL</stp>
        <stp>282</stp>
        <tr r="C290" s="1"/>
      </tp>
      <tp>
        <v>1</v>
        <stp/>
        <stp>T&amp;T1</stp>
        <stp>QUL</stp>
        <stp>283</stp>
        <tr r="I291" s="1"/>
      </tp>
      <tp>
        <v>3</v>
        <stp/>
        <stp>T&amp;T0</stp>
        <stp>QUL</stp>
        <stp>283</stp>
        <tr r="C291" s="1"/>
      </tp>
      <tp>
        <v>1</v>
        <stp/>
        <stp>T&amp;T1</stp>
        <stp>QUL</stp>
        <stp>282</stp>
        <tr r="I290" s="1"/>
      </tp>
      <tp>
        <v>1</v>
        <stp/>
        <stp>T&amp;T0</stp>
        <stp>QUL</stp>
        <stp>284</stp>
        <tr r="C292" s="1"/>
      </tp>
      <tp>
        <v>1</v>
        <stp/>
        <stp>T&amp;T1</stp>
        <stp>QUL</stp>
        <stp>285</stp>
        <tr r="I293" s="1"/>
      </tp>
      <tp>
        <v>1</v>
        <stp/>
        <stp>T&amp;T0</stp>
        <stp>QUL</stp>
        <stp>285</stp>
        <tr r="C293" s="1"/>
      </tp>
      <tp>
        <v>1</v>
        <stp/>
        <stp>T&amp;T1</stp>
        <stp>QUL</stp>
        <stp>284</stp>
        <tr r="I292" s="1"/>
      </tp>
      <tp>
        <v>1</v>
        <stp/>
        <stp>T&amp;T0</stp>
        <stp>QUL</stp>
        <stp>286</stp>
        <tr r="C294" s="1"/>
      </tp>
      <tp>
        <v>1</v>
        <stp/>
        <stp>T&amp;T1</stp>
        <stp>QUL</stp>
        <stp>287</stp>
        <tr r="I295" s="1"/>
      </tp>
      <tp>
        <v>1</v>
        <stp/>
        <stp>T&amp;T0</stp>
        <stp>QUL</stp>
        <stp>287</stp>
        <tr r="C295" s="1"/>
      </tp>
      <tp>
        <v>1</v>
        <stp/>
        <stp>T&amp;T1</stp>
        <stp>QUL</stp>
        <stp>286</stp>
        <tr r="I294" s="1"/>
      </tp>
      <tp>
        <v>7349.75</v>
        <stp/>
        <stp>T&amp;T0</stp>
        <stp>PRE</stp>
        <stp>381</stp>
        <tr r="B389" s="1"/>
      </tp>
      <tp>
        <v>7348.25</v>
        <stp/>
        <stp>T&amp;T1</stp>
        <stp>PRE</stp>
        <stp>380</stp>
        <tr r="H388" s="1"/>
      </tp>
      <tp>
        <v>7349.75</v>
        <stp/>
        <stp>T&amp;T0</stp>
        <stp>PRE</stp>
        <stp>380</stp>
        <tr r="B388" s="1"/>
      </tp>
      <tp>
        <v>7348.5</v>
        <stp/>
        <stp>T&amp;T1</stp>
        <stp>PRE</stp>
        <stp>381</stp>
        <tr r="H389" s="1"/>
      </tp>
      <tp>
        <v>7350.25</v>
        <stp/>
        <stp>T&amp;T0</stp>
        <stp>PRE</stp>
        <stp>383</stp>
        <tr r="B391" s="1"/>
      </tp>
      <tp>
        <v>7348.75</v>
        <stp/>
        <stp>T&amp;T1</stp>
        <stp>PRE</stp>
        <stp>382</stp>
        <tr r="H390" s="1"/>
      </tp>
      <tp>
        <v>7349.75</v>
        <stp/>
        <stp>T&amp;T0</stp>
        <stp>PRE</stp>
        <stp>382</stp>
        <tr r="B390" s="1"/>
      </tp>
      <tp>
        <v>7348.75</v>
        <stp/>
        <stp>T&amp;T1</stp>
        <stp>PRE</stp>
        <stp>383</stp>
        <tr r="H391" s="1"/>
      </tp>
      <tp>
        <v>7350.25</v>
        <stp/>
        <stp>T&amp;T0</stp>
        <stp>PRE</stp>
        <stp>385</stp>
        <tr r="B393" s="1"/>
      </tp>
      <tp>
        <v>7348.5</v>
        <stp/>
        <stp>T&amp;T1</stp>
        <stp>PRE</stp>
        <stp>384</stp>
        <tr r="H392" s="1"/>
      </tp>
      <tp>
        <v>7350.25</v>
        <stp/>
        <stp>T&amp;T0</stp>
        <stp>PRE</stp>
        <stp>384</stp>
        <tr r="B392" s="1"/>
      </tp>
      <tp>
        <v>7348.5</v>
        <stp/>
        <stp>T&amp;T1</stp>
        <stp>PRE</stp>
        <stp>385</stp>
        <tr r="H393" s="1"/>
      </tp>
      <tp>
        <v>7350.25</v>
        <stp/>
        <stp>T&amp;T0</stp>
        <stp>PRE</stp>
        <stp>387</stp>
        <tr r="B395" s="1"/>
      </tp>
      <tp>
        <v>7348.5</v>
        <stp/>
        <stp>T&amp;T1</stp>
        <stp>PRE</stp>
        <stp>386</stp>
        <tr r="H394" s="1"/>
      </tp>
      <tp>
        <v>7350.25</v>
        <stp/>
        <stp>T&amp;T0</stp>
        <stp>PRE</stp>
        <stp>386</stp>
        <tr r="B394" s="1"/>
      </tp>
      <tp>
        <v>7348.5</v>
        <stp/>
        <stp>T&amp;T1</stp>
        <stp>PRE</stp>
        <stp>387</stp>
        <tr r="H395" s="1"/>
      </tp>
      <tp>
        <v>7350.25</v>
        <stp/>
        <stp>T&amp;T0</stp>
        <stp>PRE</stp>
        <stp>389</stp>
        <tr r="B397" s="1"/>
      </tp>
      <tp>
        <v>7348.5</v>
        <stp/>
        <stp>T&amp;T1</stp>
        <stp>PRE</stp>
        <stp>388</stp>
        <tr r="H396" s="1"/>
      </tp>
      <tp>
        <v>7350.25</v>
        <stp/>
        <stp>T&amp;T0</stp>
        <stp>PRE</stp>
        <stp>388</stp>
        <tr r="B396" s="1"/>
      </tp>
      <tp>
        <v>7348.75</v>
        <stp/>
        <stp>T&amp;T1</stp>
        <stp>PRE</stp>
        <stp>389</stp>
        <tr r="H397" s="1"/>
      </tp>
      <tp>
        <v>7350</v>
        <stp/>
        <stp>T&amp;T0</stp>
        <stp>PRE</stp>
        <stp>391</stp>
        <tr r="B399" s="1"/>
      </tp>
      <tp>
        <v>7348.75</v>
        <stp/>
        <stp>T&amp;T1</stp>
        <stp>PRE</stp>
        <stp>390</stp>
        <tr r="H398" s="1"/>
      </tp>
      <tp>
        <v>7350</v>
        <stp/>
        <stp>T&amp;T0</stp>
        <stp>PRE</stp>
        <stp>390</stp>
        <tr r="B398" s="1"/>
      </tp>
      <tp>
        <v>7348.5</v>
        <stp/>
        <stp>T&amp;T1</stp>
        <stp>PRE</stp>
        <stp>391</stp>
        <tr r="H399" s="1"/>
      </tp>
      <tp>
        <v>7350</v>
        <stp/>
        <stp>T&amp;T0</stp>
        <stp>PRE</stp>
        <stp>393</stp>
        <tr r="B401" s="1"/>
      </tp>
      <tp>
        <v>7348.5</v>
        <stp/>
        <stp>T&amp;T1</stp>
        <stp>PRE</stp>
        <stp>392</stp>
        <tr r="H400" s="1"/>
      </tp>
      <tp>
        <v>7350</v>
        <stp/>
        <stp>T&amp;T0</stp>
        <stp>PRE</stp>
        <stp>392</stp>
        <tr r="B400" s="1"/>
      </tp>
      <tp>
        <v>7348.75</v>
        <stp/>
        <stp>T&amp;T1</stp>
        <stp>PRE</stp>
        <stp>393</stp>
        <tr r="H401" s="1"/>
      </tp>
      <tp>
        <v>7350</v>
        <stp/>
        <stp>T&amp;T0</stp>
        <stp>PRE</stp>
        <stp>395</stp>
        <tr r="B403" s="1"/>
      </tp>
      <tp>
        <v>7348.5</v>
        <stp/>
        <stp>T&amp;T1</stp>
        <stp>PRE</stp>
        <stp>394</stp>
        <tr r="H402" s="1"/>
      </tp>
      <tp>
        <v>7350</v>
        <stp/>
        <stp>T&amp;T0</stp>
        <stp>PRE</stp>
        <stp>394</stp>
        <tr r="B402" s="1"/>
      </tp>
      <tp>
        <v>7348.5</v>
        <stp/>
        <stp>T&amp;T1</stp>
        <stp>PRE</stp>
        <stp>395</stp>
        <tr r="H403" s="1"/>
      </tp>
      <tp>
        <v>7350</v>
        <stp/>
        <stp>T&amp;T0</stp>
        <stp>PRE</stp>
        <stp>397</stp>
        <tr r="B405" s="1"/>
      </tp>
      <tp>
        <v>7348.5</v>
        <stp/>
        <stp>T&amp;T1</stp>
        <stp>PRE</stp>
        <stp>396</stp>
        <tr r="H404" s="1"/>
      </tp>
      <tp>
        <v>7350</v>
        <stp/>
        <stp>T&amp;T0</stp>
        <stp>PRE</stp>
        <stp>396</stp>
        <tr r="B404" s="1"/>
      </tp>
      <tp>
        <v>7348.75</v>
        <stp/>
        <stp>T&amp;T1</stp>
        <stp>PRE</stp>
        <stp>397</stp>
        <tr r="H405" s="1"/>
      </tp>
      <tp>
        <v>7350</v>
        <stp/>
        <stp>T&amp;T0</stp>
        <stp>PRE</stp>
        <stp>399</stp>
        <tr r="B407" s="1"/>
      </tp>
      <tp>
        <v>7348.75</v>
        <stp/>
        <stp>T&amp;T1</stp>
        <stp>PRE</stp>
        <stp>398</stp>
        <tr r="H406" s="1"/>
      </tp>
      <tp>
        <v>7349.75</v>
        <stp/>
        <stp>T&amp;T0</stp>
        <stp>PRE</stp>
        <stp>398</stp>
        <tr r="B406" s="1"/>
      </tp>
      <tp>
        <v>7348.75</v>
        <stp/>
        <stp>T&amp;T1</stp>
        <stp>PRE</stp>
        <stp>399</stp>
        <tr r="H407" s="1"/>
      </tp>
      <tp>
        <v>7349.25</v>
        <stp/>
        <stp>T&amp;T0</stp>
        <stp>PRE</stp>
        <stp>361</stp>
        <tr r="B369" s="1"/>
      </tp>
      <tp>
        <v>1</v>
        <stp/>
        <stp>T&amp;T0</stp>
        <stp>QUL</stp>
        <stp>218</stp>
        <tr r="C226" s="1"/>
      </tp>
      <tp>
        <v>7348.25</v>
        <stp/>
        <stp>T&amp;T1</stp>
        <stp>PRE</stp>
        <stp>360</stp>
        <tr r="H368" s="1"/>
      </tp>
      <tp>
        <v>2</v>
        <stp/>
        <stp>T&amp;T1</stp>
        <stp>QUL</stp>
        <stp>219</stp>
        <tr r="I227" s="1"/>
      </tp>
      <tp>
        <v>7349.25</v>
        <stp/>
        <stp>T&amp;T0</stp>
        <stp>PRE</stp>
        <stp>360</stp>
        <tr r="B368" s="1"/>
      </tp>
      <tp>
        <v>1</v>
        <stp/>
        <stp>T&amp;T0</stp>
        <stp>QUL</stp>
        <stp>219</stp>
        <tr r="C227" s="1"/>
      </tp>
      <tp>
        <v>7348.25</v>
        <stp/>
        <stp>T&amp;T1</stp>
        <stp>PRE</stp>
        <stp>361</stp>
        <tr r="H369" s="1"/>
      </tp>
      <tp>
        <v>1</v>
        <stp/>
        <stp>T&amp;T1</stp>
        <stp>QUL</stp>
        <stp>218</stp>
        <tr r="I226" s="1"/>
      </tp>
      <tp>
        <v>7348.75</v>
        <stp/>
        <stp>T&amp;T0</stp>
        <stp>PRE</stp>
        <stp>363</stp>
        <tr r="B371" s="1"/>
      </tp>
      <tp>
        <v>7348.25</v>
        <stp/>
        <stp>T&amp;T1</stp>
        <stp>PRE</stp>
        <stp>362</stp>
        <tr r="H370" s="1"/>
      </tp>
      <tp>
        <v>7349</v>
        <stp/>
        <stp>T&amp;T0</stp>
        <stp>PRE</stp>
        <stp>362</stp>
        <tr r="B370" s="1"/>
      </tp>
      <tp>
        <v>7348.25</v>
        <stp/>
        <stp>T&amp;T1</stp>
        <stp>PRE</stp>
        <stp>363</stp>
        <tr r="H371" s="1"/>
      </tp>
      <tp>
        <v>7348.75</v>
        <stp/>
        <stp>T&amp;T0</stp>
        <stp>PRE</stp>
        <stp>365</stp>
        <tr r="B373" s="1"/>
      </tp>
      <tp>
        <v>7348.25</v>
        <stp/>
        <stp>T&amp;T1</stp>
        <stp>PRE</stp>
        <stp>364</stp>
        <tr r="H372" s="1"/>
      </tp>
      <tp>
        <v>7348.75</v>
        <stp/>
        <stp>T&amp;T0</stp>
        <stp>PRE</stp>
        <stp>364</stp>
        <tr r="B372" s="1"/>
      </tp>
      <tp>
        <v>7348.5</v>
        <stp/>
        <stp>T&amp;T1</stp>
        <stp>PRE</stp>
        <stp>365</stp>
        <tr r="H373" s="1"/>
      </tp>
      <tp>
        <v>7348.75</v>
        <stp/>
        <stp>T&amp;T0</stp>
        <stp>PRE</stp>
        <stp>367</stp>
        <tr r="B375" s="1"/>
      </tp>
      <tp>
        <v>7348.25</v>
        <stp/>
        <stp>T&amp;T1</stp>
        <stp>PRE</stp>
        <stp>366</stp>
        <tr r="H374" s="1"/>
      </tp>
      <tp>
        <v>7348.75</v>
        <stp/>
        <stp>T&amp;T0</stp>
        <stp>PRE</stp>
        <stp>366</stp>
        <tr r="B374" s="1"/>
      </tp>
      <tp>
        <v>7348.25</v>
        <stp/>
        <stp>T&amp;T1</stp>
        <stp>PRE</stp>
        <stp>367</stp>
        <tr r="H375" s="1"/>
      </tp>
      <tp>
        <v>7349</v>
        <stp/>
        <stp>T&amp;T0</stp>
        <stp>PRE</stp>
        <stp>369</stp>
        <tr r="B377" s="1"/>
      </tp>
      <tp>
        <v>1</v>
        <stp/>
        <stp>T&amp;T0</stp>
        <stp>QUL</stp>
        <stp>210</stp>
        <tr r="C218" s="1"/>
      </tp>
      <tp>
        <v>7348</v>
        <stp/>
        <stp>T&amp;T1</stp>
        <stp>PRE</stp>
        <stp>368</stp>
        <tr r="H376" s="1"/>
      </tp>
      <tp>
        <v>2</v>
        <stp/>
        <stp>T&amp;T1</stp>
        <stp>QUL</stp>
        <stp>211</stp>
        <tr r="I219" s="1"/>
      </tp>
      <tp>
        <v>7349</v>
        <stp/>
        <stp>T&amp;T0</stp>
        <stp>PRE</stp>
        <stp>368</stp>
        <tr r="B376" s="1"/>
      </tp>
      <tp>
        <v>1</v>
        <stp/>
        <stp>T&amp;T0</stp>
        <stp>QUL</stp>
        <stp>211</stp>
        <tr r="C219" s="1"/>
      </tp>
      <tp>
        <v>7348</v>
        <stp/>
        <stp>T&amp;T1</stp>
        <stp>PRE</stp>
        <stp>369</stp>
        <tr r="H377" s="1"/>
      </tp>
      <tp>
        <v>1</v>
        <stp/>
        <stp>T&amp;T1</stp>
        <stp>QUL</stp>
        <stp>210</stp>
        <tr r="I218" s="1"/>
      </tp>
      <tp>
        <v>1</v>
        <stp/>
        <stp>T&amp;T0</stp>
        <stp>QUL</stp>
        <stp>212</stp>
        <tr r="C220" s="1"/>
      </tp>
      <tp>
        <v>5</v>
        <stp/>
        <stp>T&amp;T1</stp>
        <stp>QUL</stp>
        <stp>213</stp>
        <tr r="I221" s="1"/>
      </tp>
      <tp>
        <v>1</v>
        <stp/>
        <stp>T&amp;T0</stp>
        <stp>QUL</stp>
        <stp>213</stp>
        <tr r="C221" s="1"/>
      </tp>
      <tp>
        <v>1</v>
        <stp/>
        <stp>T&amp;T1</stp>
        <stp>QUL</stp>
        <stp>212</stp>
        <tr r="I220" s="1"/>
      </tp>
      <tp>
        <v>1</v>
        <stp/>
        <stp>T&amp;T0</stp>
        <stp>QUL</stp>
        <stp>214</stp>
        <tr r="C222" s="1"/>
      </tp>
      <tp>
        <v>7</v>
        <stp/>
        <stp>T&amp;T1</stp>
        <stp>QUL</stp>
        <stp>215</stp>
        <tr r="I223" s="1"/>
      </tp>
      <tp>
        <v>1</v>
        <stp/>
        <stp>T&amp;T0</stp>
        <stp>QUL</stp>
        <stp>215</stp>
        <tr r="C223" s="1"/>
      </tp>
      <tp>
        <v>1</v>
        <stp/>
        <stp>T&amp;T1</stp>
        <stp>QUL</stp>
        <stp>214</stp>
        <tr r="I222" s="1"/>
      </tp>
      <tp>
        <v>1</v>
        <stp/>
        <stp>T&amp;T0</stp>
        <stp>QUL</stp>
        <stp>216</stp>
        <tr r="C224" s="1"/>
      </tp>
      <tp>
        <v>7</v>
        <stp/>
        <stp>T&amp;T1</stp>
        <stp>QUL</stp>
        <stp>217</stp>
        <tr r="I225" s="1"/>
      </tp>
      <tp>
        <v>1</v>
        <stp/>
        <stp>T&amp;T0</stp>
        <stp>QUL</stp>
        <stp>217</stp>
        <tr r="C225" s="1"/>
      </tp>
      <tp>
        <v>6</v>
        <stp/>
        <stp>T&amp;T1</stp>
        <stp>QUL</stp>
        <stp>216</stp>
        <tr r="I224" s="1"/>
      </tp>
      <tp>
        <v>7348.75</v>
        <stp/>
        <stp>T&amp;T0</stp>
        <stp>PRE</stp>
        <stp>371</stp>
        <tr r="B379" s="1"/>
      </tp>
      <tp>
        <v>1</v>
        <stp/>
        <stp>T&amp;T0</stp>
        <stp>QUL</stp>
        <stp>208</stp>
        <tr r="C216" s="1"/>
      </tp>
      <tp>
        <v>7348</v>
        <stp/>
        <stp>T&amp;T1</stp>
        <stp>PRE</stp>
        <stp>370</stp>
        <tr r="H378" s="1"/>
      </tp>
      <tp>
        <v>2</v>
        <stp/>
        <stp>T&amp;T1</stp>
        <stp>QUL</stp>
        <stp>209</stp>
        <tr r="I217" s="1"/>
      </tp>
      <tp>
        <v>7348.75</v>
        <stp/>
        <stp>T&amp;T0</stp>
        <stp>PRE</stp>
        <stp>370</stp>
        <tr r="B378" s="1"/>
      </tp>
      <tp>
        <v>1</v>
        <stp/>
        <stp>T&amp;T0</stp>
        <stp>QUL</stp>
        <stp>209</stp>
        <tr r="C217" s="1"/>
      </tp>
      <tp>
        <v>7348.25</v>
        <stp/>
        <stp>T&amp;T1</stp>
        <stp>PRE</stp>
        <stp>371</stp>
        <tr r="H379" s="1"/>
      </tp>
      <tp>
        <v>2</v>
        <stp/>
        <stp>T&amp;T1</stp>
        <stp>QUL</stp>
        <stp>208</stp>
        <tr r="I216" s="1"/>
      </tp>
      <tp>
        <v>7349</v>
        <stp/>
        <stp>T&amp;T0</stp>
        <stp>PRE</stp>
        <stp>373</stp>
        <tr r="B381" s="1"/>
      </tp>
      <tp>
        <v>7348.25</v>
        <stp/>
        <stp>T&amp;T1</stp>
        <stp>PRE</stp>
        <stp>372</stp>
        <tr r="H380" s="1"/>
      </tp>
      <tp>
        <v>7349</v>
        <stp/>
        <stp>T&amp;T0</stp>
        <stp>PRE</stp>
        <stp>372</stp>
        <tr r="B380" s="1"/>
      </tp>
      <tp>
        <v>7347.75</v>
        <stp/>
        <stp>T&amp;T1</stp>
        <stp>PRE</stp>
        <stp>373</stp>
        <tr r="H381" s="1"/>
      </tp>
      <tp>
        <v>7349.25</v>
        <stp/>
        <stp>T&amp;T0</stp>
        <stp>PRE</stp>
        <stp>375</stp>
        <tr r="B383" s="1"/>
      </tp>
      <tp>
        <v>7348</v>
        <stp/>
        <stp>T&amp;T1</stp>
        <stp>PRE</stp>
        <stp>374</stp>
        <tr r="H382" s="1"/>
      </tp>
      <tp>
        <v>7349.25</v>
        <stp/>
        <stp>T&amp;T0</stp>
        <stp>PRE</stp>
        <stp>374</stp>
        <tr r="B382" s="1"/>
      </tp>
      <tp>
        <v>7348.25</v>
        <stp/>
        <stp>T&amp;T1</stp>
        <stp>PRE</stp>
        <stp>375</stp>
        <tr r="H383" s="1"/>
      </tp>
      <tp>
        <v>7349.5</v>
        <stp/>
        <stp>T&amp;T0</stp>
        <stp>PRE</stp>
        <stp>377</stp>
        <tr r="B385" s="1"/>
      </tp>
      <tp>
        <v>7348.25</v>
        <stp/>
        <stp>T&amp;T1</stp>
        <stp>PRE</stp>
        <stp>376</stp>
        <tr r="H384" s="1"/>
      </tp>
      <tp>
        <v>7349.25</v>
        <stp/>
        <stp>T&amp;T0</stp>
        <stp>PRE</stp>
        <stp>376</stp>
        <tr r="B384" s="1"/>
      </tp>
      <tp>
        <v>7348.25</v>
        <stp/>
        <stp>T&amp;T1</stp>
        <stp>PRE</stp>
        <stp>377</stp>
        <tr r="H385" s="1"/>
      </tp>
      <tp>
        <v>7349.75</v>
        <stp/>
        <stp>T&amp;T0</stp>
        <stp>PRE</stp>
        <stp>379</stp>
        <tr r="B387" s="1"/>
      </tp>
      <tp>
        <v>3</v>
        <stp/>
        <stp>T&amp;T0</stp>
        <stp>QUL</stp>
        <stp>200</stp>
        <tr r="C208" s="1"/>
      </tp>
      <tp>
        <v>7348.25</v>
        <stp/>
        <stp>T&amp;T1</stp>
        <stp>PRE</stp>
        <stp>378</stp>
        <tr r="H386" s="1"/>
      </tp>
      <tp>
        <v>1</v>
        <stp/>
        <stp>T&amp;T1</stp>
        <stp>QUL</stp>
        <stp>201</stp>
        <tr r="I209" s="1"/>
      </tp>
      <tp>
        <v>7349.75</v>
        <stp/>
        <stp>T&amp;T0</stp>
        <stp>PRE</stp>
        <stp>378</stp>
        <tr r="B386" s="1"/>
      </tp>
      <tp>
        <v>2</v>
        <stp/>
        <stp>T&amp;T0</stp>
        <stp>QUL</stp>
        <stp>201</stp>
        <tr r="C209" s="1"/>
      </tp>
      <tp>
        <v>7348</v>
        <stp/>
        <stp>T&amp;T1</stp>
        <stp>PRE</stp>
        <stp>379</stp>
        <tr r="H387" s="1"/>
      </tp>
      <tp>
        <v>1</v>
        <stp/>
        <stp>T&amp;T1</stp>
        <stp>QUL</stp>
        <stp>200</stp>
        <tr r="I208" s="1"/>
      </tp>
      <tp>
        <v>1</v>
        <stp/>
        <stp>T&amp;T0</stp>
        <stp>QUL</stp>
        <stp>202</stp>
        <tr r="C210" s="1"/>
      </tp>
      <tp>
        <v>1</v>
        <stp/>
        <stp>T&amp;T1</stp>
        <stp>QUL</stp>
        <stp>203</stp>
        <tr r="I211" s="1"/>
      </tp>
      <tp>
        <v>3</v>
        <stp/>
        <stp>T&amp;T0</stp>
        <stp>QUL</stp>
        <stp>203</stp>
        <tr r="C211" s="1"/>
      </tp>
      <tp>
        <v>1</v>
        <stp/>
        <stp>T&amp;T1</stp>
        <stp>QUL</stp>
        <stp>202</stp>
        <tr r="I210" s="1"/>
      </tp>
      <tp>
        <v>1</v>
        <stp/>
        <stp>T&amp;T0</stp>
        <stp>QUL</stp>
        <stp>204</stp>
        <tr r="C212" s="1"/>
      </tp>
      <tp>
        <v>1</v>
        <stp/>
        <stp>T&amp;T1</stp>
        <stp>QUL</stp>
        <stp>205</stp>
        <tr r="I213" s="1"/>
      </tp>
      <tp>
        <v>1</v>
        <stp/>
        <stp>T&amp;T0</stp>
        <stp>QUL</stp>
        <stp>205</stp>
        <tr r="C213" s="1"/>
      </tp>
      <tp>
        <v>2</v>
        <stp/>
        <stp>T&amp;T1</stp>
        <stp>QUL</stp>
        <stp>204</stp>
        <tr r="I212" s="1"/>
      </tp>
      <tp>
        <v>1</v>
        <stp/>
        <stp>T&amp;T0</stp>
        <stp>QUL</stp>
        <stp>206</stp>
        <tr r="C214" s="1"/>
      </tp>
      <tp>
        <v>1</v>
        <stp/>
        <stp>T&amp;T1</stp>
        <stp>QUL</stp>
        <stp>207</stp>
        <tr r="I215" s="1"/>
      </tp>
      <tp>
        <v>5</v>
        <stp/>
        <stp>T&amp;T0</stp>
        <stp>QUL</stp>
        <stp>207</stp>
        <tr r="C215" s="1"/>
      </tp>
      <tp>
        <v>1</v>
        <stp/>
        <stp>T&amp;T1</stp>
        <stp>QUL</stp>
        <stp>206</stp>
        <tr r="I214" s="1"/>
      </tp>
      <tp>
        <v>7348.75</v>
        <stp/>
        <stp>T&amp;T0</stp>
        <stp>PRE</stp>
        <stp>341</stp>
        <tr r="B349" s="1"/>
      </tp>
      <tp>
        <v>1</v>
        <stp/>
        <stp>T&amp;T0</stp>
        <stp>QUL</stp>
        <stp>238</stp>
        <tr r="C246" s="1"/>
      </tp>
      <tp>
        <v>7347</v>
        <stp/>
        <stp>T&amp;T1</stp>
        <stp>PRE</stp>
        <stp>340</stp>
        <tr r="H348" s="1"/>
      </tp>
      <tp>
        <v>7</v>
        <stp/>
        <stp>T&amp;T1</stp>
        <stp>QUL</stp>
        <stp>239</stp>
        <tr r="I247" s="1"/>
      </tp>
      <tp>
        <v>7348.75</v>
        <stp/>
        <stp>T&amp;T0</stp>
        <stp>PRE</stp>
        <stp>340</stp>
        <tr r="B348" s="1"/>
      </tp>
      <tp>
        <v>3</v>
        <stp/>
        <stp>T&amp;T0</stp>
        <stp>QUL</stp>
        <stp>239</stp>
        <tr r="C247" s="1"/>
      </tp>
      <tp>
        <v>7347.25</v>
        <stp/>
        <stp>T&amp;T1</stp>
        <stp>PRE</stp>
        <stp>341</stp>
        <tr r="H349" s="1"/>
      </tp>
      <tp>
        <v>5</v>
        <stp/>
        <stp>T&amp;T1</stp>
        <stp>QUL</stp>
        <stp>238</stp>
        <tr r="I246" s="1"/>
      </tp>
      <tp>
        <v>7348.75</v>
        <stp/>
        <stp>T&amp;T0</stp>
        <stp>PRE</stp>
        <stp>343</stp>
        <tr r="B351" s="1"/>
      </tp>
      <tp>
        <v>7347.5</v>
        <stp/>
        <stp>T&amp;T1</stp>
        <stp>PRE</stp>
        <stp>342</stp>
        <tr r="H350" s="1"/>
      </tp>
      <tp>
        <v>7348.75</v>
        <stp/>
        <stp>T&amp;T0</stp>
        <stp>PRE</stp>
        <stp>342</stp>
        <tr r="B350" s="1"/>
      </tp>
      <tp>
        <v>7347.75</v>
        <stp/>
        <stp>T&amp;T1</stp>
        <stp>PRE</stp>
        <stp>343</stp>
        <tr r="H351" s="1"/>
      </tp>
      <tp>
        <v>7348.5</v>
        <stp/>
        <stp>T&amp;T0</stp>
        <stp>PRE</stp>
        <stp>345</stp>
        <tr r="B353" s="1"/>
      </tp>
      <tp>
        <v>7348</v>
        <stp/>
        <stp>T&amp;T1</stp>
        <stp>PRE</stp>
        <stp>344</stp>
        <tr r="H352" s="1"/>
      </tp>
      <tp>
        <v>7348.75</v>
        <stp/>
        <stp>T&amp;T0</stp>
        <stp>PRE</stp>
        <stp>344</stp>
        <tr r="B352" s="1"/>
      </tp>
      <tp>
        <v>7348.25</v>
        <stp/>
        <stp>T&amp;T1</stp>
        <stp>PRE</stp>
        <stp>345</stp>
        <tr r="H353" s="1"/>
      </tp>
      <tp>
        <v>7349</v>
        <stp/>
        <stp>T&amp;T0</stp>
        <stp>PRE</stp>
        <stp>347</stp>
        <tr r="B355" s="1"/>
      </tp>
      <tp>
        <v>7348.25</v>
        <stp/>
        <stp>T&amp;T1</stp>
        <stp>PRE</stp>
        <stp>346</stp>
        <tr r="H354" s="1"/>
      </tp>
      <tp>
        <v>7348.75</v>
        <stp/>
        <stp>T&amp;T0</stp>
        <stp>PRE</stp>
        <stp>346</stp>
        <tr r="B354" s="1"/>
      </tp>
      <tp>
        <v>7348.25</v>
        <stp/>
        <stp>T&amp;T1</stp>
        <stp>PRE</stp>
        <stp>347</stp>
        <tr r="H355" s="1"/>
      </tp>
      <tp>
        <v>7348.75</v>
        <stp/>
        <stp>T&amp;T0</stp>
        <stp>PRE</stp>
        <stp>349</stp>
        <tr r="B357" s="1"/>
      </tp>
      <tp>
        <v>4</v>
        <stp/>
        <stp>T&amp;T0</stp>
        <stp>QUL</stp>
        <stp>230</stp>
        <tr r="C238" s="1"/>
      </tp>
      <tp>
        <v>7348.5</v>
        <stp/>
        <stp>T&amp;T1</stp>
        <stp>PRE</stp>
        <stp>348</stp>
        <tr r="H356" s="1"/>
      </tp>
      <tp>
        <v>1</v>
        <stp/>
        <stp>T&amp;T1</stp>
        <stp>QUL</stp>
        <stp>231</stp>
        <tr r="I239" s="1"/>
      </tp>
      <tp>
        <v>7348.75</v>
        <stp/>
        <stp>T&amp;T0</stp>
        <stp>PRE</stp>
        <stp>348</stp>
        <tr r="B356" s="1"/>
      </tp>
      <tp>
        <v>3</v>
        <stp/>
        <stp>T&amp;T0</stp>
        <stp>QUL</stp>
        <stp>231</stp>
        <tr r="C239" s="1"/>
      </tp>
      <tp>
        <v>7348</v>
        <stp/>
        <stp>T&amp;T1</stp>
        <stp>PRE</stp>
        <stp>349</stp>
        <tr r="H357" s="1"/>
      </tp>
      <tp>
        <v>1</v>
        <stp/>
        <stp>T&amp;T1</stp>
        <stp>QUL</stp>
        <stp>230</stp>
        <tr r="I238" s="1"/>
      </tp>
      <tp>
        <v>2</v>
        <stp/>
        <stp>T&amp;T0</stp>
        <stp>QUL</stp>
        <stp>232</stp>
        <tr r="C240" s="1"/>
      </tp>
      <tp>
        <v>1</v>
        <stp/>
        <stp>T&amp;T1</stp>
        <stp>QUL</stp>
        <stp>233</stp>
        <tr r="I241" s="1"/>
      </tp>
      <tp>
        <v>3</v>
        <stp/>
        <stp>T&amp;T0</stp>
        <stp>QUL</stp>
        <stp>233</stp>
        <tr r="C241" s="1"/>
      </tp>
      <tp>
        <v>1</v>
        <stp/>
        <stp>T&amp;T1</stp>
        <stp>QUL</stp>
        <stp>232</stp>
        <tr r="I240" s="1"/>
      </tp>
      <tp>
        <v>1</v>
        <stp/>
        <stp>T&amp;T0</stp>
        <stp>QUL</stp>
        <stp>234</stp>
        <tr r="C242" s="1"/>
      </tp>
      <tp>
        <v>1</v>
        <stp/>
        <stp>T&amp;T1</stp>
        <stp>QUL</stp>
        <stp>235</stp>
        <tr r="I243" s="1"/>
      </tp>
      <tp>
        <v>1</v>
        <stp/>
        <stp>T&amp;T0</stp>
        <stp>QUL</stp>
        <stp>235</stp>
        <tr r="C243" s="1"/>
      </tp>
      <tp>
        <v>4</v>
        <stp/>
        <stp>T&amp;T1</stp>
        <stp>QUL</stp>
        <stp>234</stp>
        <tr r="I242" s="1"/>
      </tp>
      <tp>
        <v>1</v>
        <stp/>
        <stp>T&amp;T0</stp>
        <stp>QUL</stp>
        <stp>236</stp>
        <tr r="C244" s="1"/>
      </tp>
      <tp>
        <v>1</v>
        <stp/>
        <stp>T&amp;T1</stp>
        <stp>QUL</stp>
        <stp>237</stp>
        <tr r="I245" s="1"/>
      </tp>
      <tp>
        <v>2</v>
        <stp/>
        <stp>T&amp;T0</stp>
        <stp>QUL</stp>
        <stp>237</stp>
        <tr r="C245" s="1"/>
      </tp>
      <tp>
        <v>1</v>
        <stp/>
        <stp>T&amp;T1</stp>
        <stp>QUL</stp>
        <stp>236</stp>
        <tr r="I244" s="1"/>
      </tp>
      <tp>
        <v>7349.25</v>
        <stp/>
        <stp>T&amp;T0</stp>
        <stp>PRE</stp>
        <stp>351</stp>
        <tr r="B359" s="1"/>
      </tp>
      <tp>
        <v>1</v>
        <stp/>
        <stp>T&amp;T0</stp>
        <stp>QUL</stp>
        <stp>228</stp>
        <tr r="C236" s="1"/>
      </tp>
      <tp>
        <v>7348</v>
        <stp/>
        <stp>T&amp;T1</stp>
        <stp>PRE</stp>
        <stp>350</stp>
        <tr r="H358" s="1"/>
      </tp>
      <tp>
        <v>1</v>
        <stp/>
        <stp>T&amp;T1</stp>
        <stp>QUL</stp>
        <stp>229</stp>
        <tr r="I237" s="1"/>
      </tp>
      <tp>
        <v>7348.75</v>
        <stp/>
        <stp>T&amp;T0</stp>
        <stp>PRE</stp>
        <stp>350</stp>
        <tr r="B358" s="1"/>
      </tp>
      <tp>
        <v>1</v>
        <stp/>
        <stp>T&amp;T0</stp>
        <stp>QUL</stp>
        <stp>229</stp>
        <tr r="C237" s="1"/>
      </tp>
      <tp>
        <v>7348</v>
        <stp/>
        <stp>T&amp;T1</stp>
        <stp>PRE</stp>
        <stp>351</stp>
        <tr r="H359" s="1"/>
      </tp>
      <tp>
        <v>2</v>
        <stp/>
        <stp>T&amp;T1</stp>
        <stp>QUL</stp>
        <stp>228</stp>
        <tr r="I236" s="1"/>
      </tp>
      <tp>
        <v>7349.25</v>
        <stp/>
        <stp>T&amp;T0</stp>
        <stp>PRE</stp>
        <stp>353</stp>
        <tr r="B361" s="1"/>
      </tp>
      <tp>
        <v>7348.25</v>
        <stp/>
        <stp>T&amp;T1</stp>
        <stp>PRE</stp>
        <stp>352</stp>
        <tr r="H360" s="1"/>
      </tp>
      <tp>
        <v>7349.25</v>
        <stp/>
        <stp>T&amp;T0</stp>
        <stp>PRE</stp>
        <stp>352</stp>
        <tr r="B360" s="1"/>
      </tp>
      <tp>
        <v>7348.25</v>
        <stp/>
        <stp>T&amp;T1</stp>
        <stp>PRE</stp>
        <stp>353</stp>
        <tr r="H361" s="1"/>
      </tp>
      <tp>
        <v>7349.25</v>
        <stp/>
        <stp>T&amp;T0</stp>
        <stp>PRE</stp>
        <stp>355</stp>
        <tr r="B363" s="1"/>
      </tp>
      <tp>
        <v>7348.25</v>
        <stp/>
        <stp>T&amp;T1</stp>
        <stp>PRE</stp>
        <stp>354</stp>
        <tr r="H362" s="1"/>
      </tp>
      <tp>
        <v>7349.25</v>
        <stp/>
        <stp>T&amp;T0</stp>
        <stp>PRE</stp>
        <stp>354</stp>
        <tr r="B362" s="1"/>
      </tp>
      <tp>
        <v>7348.25</v>
        <stp/>
        <stp>T&amp;T1</stp>
        <stp>PRE</stp>
        <stp>355</stp>
        <tr r="H363" s="1"/>
      </tp>
      <tp>
        <v>7349.25</v>
        <stp/>
        <stp>T&amp;T0</stp>
        <stp>PRE</stp>
        <stp>357</stp>
        <tr r="B365" s="1"/>
      </tp>
      <tp>
        <v>7348</v>
        <stp/>
        <stp>T&amp;T1</stp>
        <stp>PRE</stp>
        <stp>356</stp>
        <tr r="H364" s="1"/>
      </tp>
      <tp>
        <v>7349.25</v>
        <stp/>
        <stp>T&amp;T0</stp>
        <stp>PRE</stp>
        <stp>356</stp>
        <tr r="B364" s="1"/>
      </tp>
      <tp>
        <v>7348.25</v>
        <stp/>
        <stp>T&amp;T1</stp>
        <stp>PRE</stp>
        <stp>357</stp>
        <tr r="H365" s="1"/>
      </tp>
      <tp>
        <v>7349.25</v>
        <stp/>
        <stp>T&amp;T0</stp>
        <stp>PRE</stp>
        <stp>359</stp>
        <tr r="B367" s="1"/>
      </tp>
      <tp>
        <v>1</v>
        <stp/>
        <stp>T&amp;T0</stp>
        <stp>QUL</stp>
        <stp>220</stp>
        <tr r="C228" s="1"/>
      </tp>
      <tp>
        <v>7348.5</v>
        <stp/>
        <stp>T&amp;T1</stp>
        <stp>PRE</stp>
        <stp>358</stp>
        <tr r="H366" s="1"/>
      </tp>
      <tp>
        <v>1</v>
        <stp/>
        <stp>T&amp;T1</stp>
        <stp>QUL</stp>
        <stp>221</stp>
        <tr r="I229" s="1"/>
      </tp>
      <tp>
        <v>7349.25</v>
        <stp/>
        <stp>T&amp;T0</stp>
        <stp>PRE</stp>
        <stp>358</stp>
        <tr r="B366" s="1"/>
      </tp>
      <tp>
        <v>2</v>
        <stp/>
        <stp>T&amp;T0</stp>
        <stp>QUL</stp>
        <stp>221</stp>
        <tr r="C229" s="1"/>
      </tp>
      <tp>
        <v>7348.25</v>
        <stp/>
        <stp>T&amp;T1</stp>
        <stp>PRE</stp>
        <stp>359</stp>
        <tr r="H367" s="1"/>
      </tp>
      <tp>
        <v>2</v>
        <stp/>
        <stp>T&amp;T1</stp>
        <stp>QUL</stp>
        <stp>220</stp>
        <tr r="I228" s="1"/>
      </tp>
      <tp>
        <v>23</v>
        <stp/>
        <stp>T&amp;T0</stp>
        <stp>QUL</stp>
        <stp>222</stp>
        <tr r="C230" s="1"/>
      </tp>
      <tp>
        <v>1</v>
        <stp/>
        <stp>T&amp;T1</stp>
        <stp>QUL</stp>
        <stp>223</stp>
        <tr r="I231" s="1"/>
      </tp>
      <tp>
        <v>4</v>
        <stp/>
        <stp>T&amp;T0</stp>
        <stp>QUL</stp>
        <stp>223</stp>
        <tr r="C231" s="1"/>
      </tp>
      <tp>
        <v>1</v>
        <stp/>
        <stp>T&amp;T1</stp>
        <stp>QUL</stp>
        <stp>222</stp>
        <tr r="I230" s="1"/>
      </tp>
      <tp>
        <v>19</v>
        <stp/>
        <stp>T&amp;T0</stp>
        <stp>QUL</stp>
        <stp>224</stp>
        <tr r="C232" s="1"/>
      </tp>
      <tp>
        <v>1</v>
        <stp/>
        <stp>T&amp;T1</stp>
        <stp>QUL</stp>
        <stp>225</stp>
        <tr r="I233" s="1"/>
      </tp>
      <tp>
        <v>1</v>
        <stp/>
        <stp>T&amp;T0</stp>
        <stp>QUL</stp>
        <stp>225</stp>
        <tr r="C233" s="1"/>
      </tp>
      <tp>
        <v>1</v>
        <stp/>
        <stp>T&amp;T1</stp>
        <stp>QUL</stp>
        <stp>224</stp>
        <tr r="I232" s="1"/>
      </tp>
      <tp>
        <v>2</v>
        <stp/>
        <stp>T&amp;T0</stp>
        <stp>QUL</stp>
        <stp>226</stp>
        <tr r="C234" s="1"/>
      </tp>
      <tp>
        <v>1</v>
        <stp/>
        <stp>T&amp;T1</stp>
        <stp>QUL</stp>
        <stp>227</stp>
        <tr r="I235" s="1"/>
      </tp>
      <tp>
        <v>1</v>
        <stp/>
        <stp>T&amp;T0</stp>
        <stp>QUL</stp>
        <stp>227</stp>
        <tr r="C235" s="1"/>
      </tp>
      <tp>
        <v>1</v>
        <stp/>
        <stp>T&amp;T1</stp>
        <stp>QUL</stp>
        <stp>226</stp>
        <tr r="I234" s="1"/>
      </tp>
      <tp>
        <v>7348.5</v>
        <stp/>
        <stp>T&amp;T0</stp>
        <stp>PRE</stp>
        <stp>321</stp>
        <tr r="B329" s="1"/>
      </tp>
      <tp>
        <v>1</v>
        <stp/>
        <stp>T&amp;T0</stp>
        <stp>QUL</stp>
        <stp>258</stp>
        <tr r="C266" s="1"/>
      </tp>
      <tp>
        <v>7347.75</v>
        <stp/>
        <stp>T&amp;T1</stp>
        <stp>PRE</stp>
        <stp>320</stp>
        <tr r="H328" s="1"/>
      </tp>
      <tp>
        <v>1</v>
        <stp/>
        <stp>T&amp;T1</stp>
        <stp>QUL</stp>
        <stp>259</stp>
        <tr r="I267" s="1"/>
      </tp>
      <tp>
        <v>7348.25</v>
        <stp/>
        <stp>T&amp;T0</stp>
        <stp>PRE</stp>
        <stp>320</stp>
        <tr r="B328" s="1"/>
      </tp>
      <tp>
        <v>1</v>
        <stp/>
        <stp>T&amp;T0</stp>
        <stp>QUL</stp>
        <stp>259</stp>
        <tr r="C267" s="1"/>
      </tp>
      <tp>
        <v>7346.75</v>
        <stp/>
        <stp>T&amp;T1</stp>
        <stp>PRE</stp>
        <stp>321</stp>
        <tr r="H329" s="1"/>
      </tp>
      <tp>
        <v>2</v>
        <stp/>
        <stp>T&amp;T1</stp>
        <stp>QUL</stp>
        <stp>258</stp>
        <tr r="I266" s="1"/>
      </tp>
      <tp>
        <v>7348.25</v>
        <stp/>
        <stp>T&amp;T0</stp>
        <stp>PRE</stp>
        <stp>323</stp>
        <tr r="B331" s="1"/>
      </tp>
      <tp>
        <v>7346.75</v>
        <stp/>
        <stp>T&amp;T1</stp>
        <stp>PRE</stp>
        <stp>322</stp>
        <tr r="H330" s="1"/>
      </tp>
      <tp>
        <v>7348.25</v>
        <stp/>
        <stp>T&amp;T0</stp>
        <stp>PRE</stp>
        <stp>322</stp>
        <tr r="B330" s="1"/>
      </tp>
      <tp>
        <v>7347</v>
        <stp/>
        <stp>T&amp;T1</stp>
        <stp>PRE</stp>
        <stp>323</stp>
        <tr r="H331" s="1"/>
      </tp>
      <tp>
        <v>7348.5</v>
        <stp/>
        <stp>T&amp;T0</stp>
        <stp>PRE</stp>
        <stp>325</stp>
        <tr r="B333" s="1"/>
      </tp>
      <tp>
        <v>7347.5</v>
        <stp/>
        <stp>T&amp;T1</stp>
        <stp>PRE</stp>
        <stp>324</stp>
        <tr r="H332" s="1"/>
      </tp>
      <tp>
        <v>7348.25</v>
        <stp/>
        <stp>T&amp;T0</stp>
        <stp>PRE</stp>
        <stp>324</stp>
        <tr r="B332" s="1"/>
      </tp>
      <tp>
        <v>7346.75</v>
        <stp/>
        <stp>T&amp;T1</stp>
        <stp>PRE</stp>
        <stp>325</stp>
        <tr r="H333" s="1"/>
      </tp>
      <tp>
        <v>7348.5</v>
        <stp/>
        <stp>T&amp;T0</stp>
        <stp>PRE</stp>
        <stp>327</stp>
        <tr r="B335" s="1"/>
      </tp>
      <tp>
        <v>7347</v>
        <stp/>
        <stp>T&amp;T1</stp>
        <stp>PRE</stp>
        <stp>326</stp>
        <tr r="H334" s="1"/>
      </tp>
      <tp>
        <v>7348.5</v>
        <stp/>
        <stp>T&amp;T0</stp>
        <stp>PRE</stp>
        <stp>326</stp>
        <tr r="B334" s="1"/>
      </tp>
      <tp>
        <v>7347.25</v>
        <stp/>
        <stp>T&amp;T1</stp>
        <stp>PRE</stp>
        <stp>327</stp>
        <tr r="H335" s="1"/>
      </tp>
      <tp>
        <v>7348.75</v>
        <stp/>
        <stp>T&amp;T0</stp>
        <stp>PRE</stp>
        <stp>329</stp>
        <tr r="B337" s="1"/>
      </tp>
      <tp>
        <v>1</v>
        <stp/>
        <stp>T&amp;T0</stp>
        <stp>QUL</stp>
        <stp>250</stp>
        <tr r="C258" s="1"/>
      </tp>
      <tp>
        <v>7347.5</v>
        <stp/>
        <stp>T&amp;T1</stp>
        <stp>PRE</stp>
        <stp>328</stp>
        <tr r="H336" s="1"/>
      </tp>
      <tp>
        <v>2</v>
        <stp/>
        <stp>T&amp;T1</stp>
        <stp>QUL</stp>
        <stp>251</stp>
        <tr r="I259" s="1"/>
      </tp>
      <tp>
        <v>7348.5</v>
        <stp/>
        <stp>T&amp;T0</stp>
        <stp>PRE</stp>
        <stp>328</stp>
        <tr r="B336" s="1"/>
      </tp>
      <tp>
        <v>3</v>
        <stp/>
        <stp>T&amp;T0</stp>
        <stp>QUL</stp>
        <stp>251</stp>
        <tr r="C259" s="1"/>
      </tp>
      <tp>
        <v>7347.75</v>
        <stp/>
        <stp>T&amp;T1</stp>
        <stp>PRE</stp>
        <stp>329</stp>
        <tr r="H337" s="1"/>
      </tp>
      <tp>
        <v>3</v>
        <stp/>
        <stp>T&amp;T1</stp>
        <stp>QUL</stp>
        <stp>250</stp>
        <tr r="I258" s="1"/>
      </tp>
      <tp>
        <v>1</v>
        <stp/>
        <stp>T&amp;T0</stp>
        <stp>QUL</stp>
        <stp>252</stp>
        <tr r="C260" s="1"/>
      </tp>
      <tp>
        <v>1</v>
        <stp/>
        <stp>T&amp;T1</stp>
        <stp>QUL</stp>
        <stp>253</stp>
        <tr r="I261" s="1"/>
      </tp>
      <tp>
        <v>1</v>
        <stp/>
        <stp>T&amp;T0</stp>
        <stp>QUL</stp>
        <stp>253</stp>
        <tr r="C261" s="1"/>
      </tp>
      <tp>
        <v>1</v>
        <stp/>
        <stp>T&amp;T1</stp>
        <stp>QUL</stp>
        <stp>252</stp>
        <tr r="I260" s="1"/>
      </tp>
      <tp>
        <v>1</v>
        <stp/>
        <stp>T&amp;T0</stp>
        <stp>QUL</stp>
        <stp>254</stp>
        <tr r="C262" s="1"/>
      </tp>
      <tp>
        <v>1</v>
        <stp/>
        <stp>T&amp;T1</stp>
        <stp>QUL</stp>
        <stp>255</stp>
        <tr r="I263" s="1"/>
      </tp>
      <tp>
        <v>1</v>
        <stp/>
        <stp>T&amp;T0</stp>
        <stp>QUL</stp>
        <stp>255</stp>
        <tr r="C263" s="1"/>
      </tp>
      <tp>
        <v>1</v>
        <stp/>
        <stp>T&amp;T1</stp>
        <stp>QUL</stp>
        <stp>254</stp>
        <tr r="I262" s="1"/>
      </tp>
      <tp>
        <v>1</v>
        <stp/>
        <stp>T&amp;T0</stp>
        <stp>QUL</stp>
        <stp>256</stp>
        <tr r="C264" s="1"/>
      </tp>
      <tp>
        <v>2</v>
        <stp/>
        <stp>T&amp;T1</stp>
        <stp>QUL</stp>
        <stp>257</stp>
        <tr r="I265" s="1"/>
      </tp>
      <tp>
        <v>1</v>
        <stp/>
        <stp>T&amp;T0</stp>
        <stp>QUL</stp>
        <stp>257</stp>
        <tr r="C265" s="1"/>
      </tp>
      <tp>
        <v>2</v>
        <stp/>
        <stp>T&amp;T1</stp>
        <stp>QUL</stp>
        <stp>256</stp>
        <tr r="I264" s="1"/>
      </tp>
      <tp>
        <v>7348.25</v>
        <stp/>
        <stp>T&amp;T0</stp>
        <stp>PRE</stp>
        <stp>331</stp>
        <tr r="B339" s="1"/>
      </tp>
      <tp>
        <v>1</v>
        <stp/>
        <stp>T&amp;T0</stp>
        <stp>QUL</stp>
        <stp>248</stp>
        <tr r="C256" s="1"/>
      </tp>
      <tp>
        <v>7348</v>
        <stp/>
        <stp>T&amp;T1</stp>
        <stp>PRE</stp>
        <stp>330</stp>
        <tr r="H338" s="1"/>
      </tp>
      <tp>
        <v>1</v>
        <stp/>
        <stp>T&amp;T1</stp>
        <stp>QUL</stp>
        <stp>249</stp>
        <tr r="I257" s="1"/>
      </tp>
      <tp>
        <v>7348.5</v>
        <stp/>
        <stp>T&amp;T0</stp>
        <stp>PRE</stp>
        <stp>330</stp>
        <tr r="B338" s="1"/>
      </tp>
      <tp>
        <v>1</v>
        <stp/>
        <stp>T&amp;T0</stp>
        <stp>QUL</stp>
        <stp>249</stp>
        <tr r="C257" s="1"/>
      </tp>
      <tp>
        <v>7348.25</v>
        <stp/>
        <stp>T&amp;T1</stp>
        <stp>PRE</stp>
        <stp>331</stp>
        <tr r="H339" s="1"/>
      </tp>
      <tp>
        <v>3</v>
        <stp/>
        <stp>T&amp;T1</stp>
        <stp>QUL</stp>
        <stp>248</stp>
        <tr r="I256" s="1"/>
      </tp>
      <tp>
        <v>7348.25</v>
        <stp/>
        <stp>T&amp;T0</stp>
        <stp>PRE</stp>
        <stp>333</stp>
        <tr r="B341" s="1"/>
      </tp>
      <tp>
        <v>7348</v>
        <stp/>
        <stp>T&amp;T1</stp>
        <stp>PRE</stp>
        <stp>332</stp>
        <tr r="H340" s="1"/>
      </tp>
      <tp>
        <v>7348.5</v>
        <stp/>
        <stp>T&amp;T0</stp>
        <stp>PRE</stp>
        <stp>332</stp>
        <tr r="B340" s="1"/>
      </tp>
      <tp>
        <v>7348</v>
        <stp/>
        <stp>T&amp;T1</stp>
        <stp>PRE</stp>
        <stp>333</stp>
        <tr r="H341" s="1"/>
      </tp>
      <tp>
        <v>7348.5</v>
        <stp/>
        <stp>T&amp;T0</stp>
        <stp>PRE</stp>
        <stp>335</stp>
        <tr r="B343" s="1"/>
      </tp>
      <tp>
        <v>7347.75</v>
        <stp/>
        <stp>T&amp;T1</stp>
        <stp>PRE</stp>
        <stp>334</stp>
        <tr r="H342" s="1"/>
      </tp>
      <tp>
        <v>7348.25</v>
        <stp/>
        <stp>T&amp;T0</stp>
        <stp>PRE</stp>
        <stp>334</stp>
        <tr r="B342" s="1"/>
      </tp>
      <tp>
        <v>7348</v>
        <stp/>
        <stp>T&amp;T1</stp>
        <stp>PRE</stp>
        <stp>335</stp>
        <tr r="H343" s="1"/>
      </tp>
      <tp>
        <v>7348.75</v>
        <stp/>
        <stp>T&amp;T0</stp>
        <stp>PRE</stp>
        <stp>337</stp>
        <tr r="B345" s="1"/>
      </tp>
      <tp>
        <v>7348</v>
        <stp/>
        <stp>T&amp;T1</stp>
        <stp>PRE</stp>
        <stp>336</stp>
        <tr r="H344" s="1"/>
      </tp>
      <tp>
        <v>7349</v>
        <stp/>
        <stp>T&amp;T0</stp>
        <stp>PRE</stp>
        <stp>336</stp>
        <tr r="B344" s="1"/>
      </tp>
      <tp>
        <v>7347.5</v>
        <stp/>
        <stp>T&amp;T1</stp>
        <stp>PRE</stp>
        <stp>337</stp>
        <tr r="H345" s="1"/>
      </tp>
      <tp>
        <v>7348.75</v>
        <stp/>
        <stp>T&amp;T0</stp>
        <stp>PRE</stp>
        <stp>339</stp>
        <tr r="B347" s="1"/>
      </tp>
      <tp>
        <v>4</v>
        <stp/>
        <stp>T&amp;T0</stp>
        <stp>QUL</stp>
        <stp>240</stp>
        <tr r="C248" s="1"/>
      </tp>
      <tp>
        <v>7347</v>
        <stp/>
        <stp>T&amp;T1</stp>
        <stp>PRE</stp>
        <stp>338</stp>
        <tr r="H346" s="1"/>
      </tp>
      <tp>
        <v>1</v>
        <stp/>
        <stp>T&amp;T1</stp>
        <stp>QUL</stp>
        <stp>241</stp>
        <tr r="I249" s="1"/>
      </tp>
      <tp>
        <v>7348.75</v>
        <stp/>
        <stp>T&amp;T0</stp>
        <stp>PRE</stp>
        <stp>338</stp>
        <tr r="B346" s="1"/>
      </tp>
      <tp>
        <v>1</v>
        <stp/>
        <stp>T&amp;T0</stp>
        <stp>QUL</stp>
        <stp>241</stp>
        <tr r="C249" s="1"/>
      </tp>
      <tp>
        <v>7347</v>
        <stp/>
        <stp>T&amp;T1</stp>
        <stp>PRE</stp>
        <stp>339</stp>
        <tr r="H347" s="1"/>
      </tp>
      <tp>
        <v>5</v>
        <stp/>
        <stp>T&amp;T1</stp>
        <stp>QUL</stp>
        <stp>240</stp>
        <tr r="I248" s="1"/>
      </tp>
      <tp>
        <v>1</v>
        <stp/>
        <stp>T&amp;T0</stp>
        <stp>QUL</stp>
        <stp>242</stp>
        <tr r="C250" s="1"/>
      </tp>
      <tp>
        <v>7</v>
        <stp/>
        <stp>T&amp;T1</stp>
        <stp>QUL</stp>
        <stp>243</stp>
        <tr r="I251" s="1"/>
      </tp>
      <tp>
        <v>2</v>
        <stp/>
        <stp>T&amp;T0</stp>
        <stp>QUL</stp>
        <stp>243</stp>
        <tr r="C251" s="1"/>
      </tp>
      <tp>
        <v>1</v>
        <stp/>
        <stp>T&amp;T1</stp>
        <stp>QUL</stp>
        <stp>242</stp>
        <tr r="I250" s="1"/>
      </tp>
      <tp>
        <v>1</v>
        <stp/>
        <stp>T&amp;T0</stp>
        <stp>QUL</stp>
        <stp>244</stp>
        <tr r="C252" s="1"/>
      </tp>
      <tp>
        <v>4</v>
        <stp/>
        <stp>T&amp;T1</stp>
        <stp>QUL</stp>
        <stp>245</stp>
        <tr r="I253" s="1"/>
      </tp>
      <tp>
        <v>11</v>
        <stp/>
        <stp>T&amp;T0</stp>
        <stp>QUL</stp>
        <stp>245</stp>
        <tr r="C253" s="1"/>
      </tp>
      <tp>
        <v>7</v>
        <stp/>
        <stp>T&amp;T1</stp>
        <stp>QUL</stp>
        <stp>244</stp>
        <tr r="I252" s="1"/>
      </tp>
      <tp>
        <v>1</v>
        <stp/>
        <stp>T&amp;T0</stp>
        <stp>QUL</stp>
        <stp>246</stp>
        <tr r="C254" s="1"/>
      </tp>
      <tp>
        <v>1</v>
        <stp/>
        <stp>T&amp;T1</stp>
        <stp>QUL</stp>
        <stp>247</stp>
        <tr r="I255" s="1"/>
      </tp>
      <tp>
        <v>1</v>
        <stp/>
        <stp>T&amp;T0</stp>
        <stp>QUL</stp>
        <stp>247</stp>
        <tr r="C255" s="1"/>
      </tp>
      <tp>
        <v>1</v>
        <stp/>
        <stp>T&amp;T1</stp>
        <stp>QUL</stp>
        <stp>246</stp>
        <tr r="I254" s="1"/>
      </tp>
      <tp>
        <v>7348.25</v>
        <stp/>
        <stp>T&amp;T0</stp>
        <stp>PRE</stp>
        <stp>301</stp>
        <tr r="B309" s="1"/>
      </tp>
      <tp>
        <v>1</v>
        <stp/>
        <stp>T&amp;T0</stp>
        <stp>QUL</stp>
        <stp>278</stp>
        <tr r="C286" s="1"/>
      </tp>
      <tp>
        <v>7347</v>
        <stp/>
        <stp>T&amp;T1</stp>
        <stp>PRE</stp>
        <stp>300</stp>
        <tr r="H308" s="1"/>
      </tp>
      <tp>
        <v>1</v>
        <stp/>
        <stp>T&amp;T1</stp>
        <stp>QUL</stp>
        <stp>279</stp>
        <tr r="I287" s="1"/>
      </tp>
      <tp>
        <v>7348</v>
        <stp/>
        <stp>T&amp;T0</stp>
        <stp>PRE</stp>
        <stp>300</stp>
        <tr r="B308" s="1"/>
      </tp>
      <tp>
        <v>2</v>
        <stp/>
        <stp>T&amp;T0</stp>
        <stp>QUL</stp>
        <stp>279</stp>
        <tr r="C287" s="1"/>
      </tp>
      <tp>
        <v>7347</v>
        <stp/>
        <stp>T&amp;T1</stp>
        <stp>PRE</stp>
        <stp>301</stp>
        <tr r="H309" s="1"/>
      </tp>
      <tp>
        <v>1</v>
        <stp/>
        <stp>T&amp;T1</stp>
        <stp>QUL</stp>
        <stp>278</stp>
        <tr r="I286" s="1"/>
      </tp>
      <tp>
        <v>7348.5</v>
        <stp/>
        <stp>T&amp;T0</stp>
        <stp>PRE</stp>
        <stp>303</stp>
        <tr r="B311" s="1"/>
      </tp>
      <tp>
        <v>7346.75</v>
        <stp/>
        <stp>T&amp;T1</stp>
        <stp>PRE</stp>
        <stp>302</stp>
        <tr r="H310" s="1"/>
      </tp>
      <tp>
        <v>7348</v>
        <stp/>
        <stp>T&amp;T0</stp>
        <stp>PRE</stp>
        <stp>302</stp>
        <tr r="B310" s="1"/>
      </tp>
      <tp>
        <v>7346.75</v>
        <stp/>
        <stp>T&amp;T1</stp>
        <stp>PRE</stp>
        <stp>303</stp>
        <tr r="H311" s="1"/>
      </tp>
      <tp>
        <v>7348.25</v>
        <stp/>
        <stp>T&amp;T0</stp>
        <stp>PRE</stp>
        <stp>305</stp>
        <tr r="B313" s="1"/>
      </tp>
      <tp>
        <v>7347</v>
        <stp/>
        <stp>T&amp;T1</stp>
        <stp>PRE</stp>
        <stp>304</stp>
        <tr r="H312" s="1"/>
      </tp>
      <tp>
        <v>7348.5</v>
        <stp/>
        <stp>T&amp;T0</stp>
        <stp>PRE</stp>
        <stp>304</stp>
        <tr r="B312" s="1"/>
      </tp>
      <tp>
        <v>7347</v>
        <stp/>
        <stp>T&amp;T1</stp>
        <stp>PRE</stp>
        <stp>305</stp>
        <tr r="H313" s="1"/>
      </tp>
      <tp>
        <v>7348.5</v>
        <stp/>
        <stp>T&amp;T0</stp>
        <stp>PRE</stp>
        <stp>307</stp>
        <tr r="B315" s="1"/>
      </tp>
      <tp>
        <v>7346.75</v>
        <stp/>
        <stp>T&amp;T1</stp>
        <stp>PRE</stp>
        <stp>306</stp>
        <tr r="H314" s="1"/>
      </tp>
      <tp>
        <v>7348.75</v>
        <stp/>
        <stp>T&amp;T0</stp>
        <stp>PRE</stp>
        <stp>306</stp>
        <tr r="B314" s="1"/>
      </tp>
      <tp>
        <v>7347</v>
        <stp/>
        <stp>T&amp;T1</stp>
        <stp>PRE</stp>
        <stp>307</stp>
        <tr r="H315" s="1"/>
      </tp>
      <tp>
        <v>7348.25</v>
        <stp/>
        <stp>T&amp;T0</stp>
        <stp>PRE</stp>
        <stp>309</stp>
        <tr r="B317" s="1"/>
      </tp>
      <tp>
        <v>4</v>
        <stp/>
        <stp>T&amp;T0</stp>
        <stp>QUL</stp>
        <stp>270</stp>
        <tr r="C278" s="1"/>
      </tp>
      <tp>
        <v>7347</v>
        <stp/>
        <stp>T&amp;T1</stp>
        <stp>PRE</stp>
        <stp>308</stp>
        <tr r="H316" s="1"/>
      </tp>
      <tp>
        <v>1</v>
        <stp/>
        <stp>T&amp;T1</stp>
        <stp>QUL</stp>
        <stp>271</stp>
        <tr r="I279" s="1"/>
      </tp>
      <tp>
        <v>7348.5</v>
        <stp/>
        <stp>T&amp;T0</stp>
        <stp>PRE</stp>
        <stp>308</stp>
        <tr r="B316" s="1"/>
      </tp>
      <tp>
        <v>5</v>
        <stp/>
        <stp>T&amp;T0</stp>
        <stp>QUL</stp>
        <stp>271</stp>
        <tr r="C279" s="1"/>
      </tp>
      <tp>
        <v>7347.25</v>
        <stp/>
        <stp>T&amp;T1</stp>
        <stp>PRE</stp>
        <stp>309</stp>
        <tr r="H317" s="1"/>
      </tp>
      <tp>
        <v>2</v>
        <stp/>
        <stp>T&amp;T1</stp>
        <stp>QUL</stp>
        <stp>270</stp>
        <tr r="I278" s="1"/>
      </tp>
      <tp>
        <v>1</v>
        <stp/>
        <stp>T&amp;T0</stp>
        <stp>QUL</stp>
        <stp>272</stp>
        <tr r="C280" s="1"/>
      </tp>
      <tp>
        <v>1</v>
        <stp/>
        <stp>T&amp;T1</stp>
        <stp>QUL</stp>
        <stp>273</stp>
        <tr r="I281" s="1"/>
      </tp>
      <tp>
        <v>1</v>
        <stp/>
        <stp>T&amp;T0</stp>
        <stp>QUL</stp>
        <stp>273</stp>
        <tr r="C281" s="1"/>
      </tp>
      <tp>
        <v>3</v>
        <stp/>
        <stp>T&amp;T1</stp>
        <stp>QUL</stp>
        <stp>272</stp>
        <tr r="I280" s="1"/>
      </tp>
      <tp>
        <v>2</v>
        <stp/>
        <stp>T&amp;T0</stp>
        <stp>QUL</stp>
        <stp>274</stp>
        <tr r="C282" s="1"/>
      </tp>
      <tp>
        <v>1</v>
        <stp/>
        <stp>T&amp;T1</stp>
        <stp>QUL</stp>
        <stp>275</stp>
        <tr r="I283" s="1"/>
      </tp>
      <tp>
        <v>2</v>
        <stp/>
        <stp>T&amp;T0</stp>
        <stp>QUL</stp>
        <stp>275</stp>
        <tr r="C283" s="1"/>
      </tp>
      <tp>
        <v>1</v>
        <stp/>
        <stp>T&amp;T1</stp>
        <stp>QUL</stp>
        <stp>274</stp>
        <tr r="I282" s="1"/>
      </tp>
      <tp>
        <v>1</v>
        <stp/>
        <stp>T&amp;T0</stp>
        <stp>QUL</stp>
        <stp>276</stp>
        <tr r="C284" s="1"/>
      </tp>
      <tp>
        <v>1</v>
        <stp/>
        <stp>T&amp;T1</stp>
        <stp>QUL</stp>
        <stp>277</stp>
        <tr r="I285" s="1"/>
      </tp>
      <tp>
        <v>1</v>
        <stp/>
        <stp>T&amp;T0</stp>
        <stp>QUL</stp>
        <stp>277</stp>
        <tr r="C285" s="1"/>
      </tp>
      <tp>
        <v>1</v>
        <stp/>
        <stp>T&amp;T1</stp>
        <stp>QUL</stp>
        <stp>276</stp>
        <tr r="I284" s="1"/>
      </tp>
      <tp>
        <v>7348</v>
        <stp/>
        <stp>T&amp;T0</stp>
        <stp>PRE</stp>
        <stp>311</stp>
        <tr r="B319" s="1"/>
      </tp>
      <tp>
        <v>9</v>
        <stp/>
        <stp>T&amp;T0</stp>
        <stp>QUL</stp>
        <stp>268</stp>
        <tr r="C276" s="1"/>
      </tp>
      <tp>
        <v>7347.5</v>
        <stp/>
        <stp>T&amp;T1</stp>
        <stp>PRE</stp>
        <stp>310</stp>
        <tr r="H318" s="1"/>
      </tp>
      <tp>
        <v>3</v>
        <stp/>
        <stp>T&amp;T1</stp>
        <stp>QUL</stp>
        <stp>269</stp>
        <tr r="I277" s="1"/>
      </tp>
      <tp>
        <v>7348.25</v>
        <stp/>
        <stp>T&amp;T0</stp>
        <stp>PRE</stp>
        <stp>310</stp>
        <tr r="B318" s="1"/>
      </tp>
      <tp>
        <v>7</v>
        <stp/>
        <stp>T&amp;T0</stp>
        <stp>QUL</stp>
        <stp>269</stp>
        <tr r="C277" s="1"/>
      </tp>
      <tp>
        <v>7347.25</v>
        <stp/>
        <stp>T&amp;T1</stp>
        <stp>PRE</stp>
        <stp>311</stp>
        <tr r="H319" s="1"/>
      </tp>
      <tp>
        <v>2</v>
        <stp/>
        <stp>T&amp;T1</stp>
        <stp>QUL</stp>
        <stp>268</stp>
        <tr r="I276" s="1"/>
      </tp>
      <tp>
        <v>7348.25</v>
        <stp/>
        <stp>T&amp;T0</stp>
        <stp>PRE</stp>
        <stp>313</stp>
        <tr r="B321" s="1"/>
      </tp>
      <tp>
        <v>7347.5</v>
        <stp/>
        <stp>T&amp;T1</stp>
        <stp>PRE</stp>
        <stp>312</stp>
        <tr r="H320" s="1"/>
      </tp>
      <tp>
        <v>7348.25</v>
        <stp/>
        <stp>T&amp;T0</stp>
        <stp>PRE</stp>
        <stp>312</stp>
        <tr r="B320" s="1"/>
      </tp>
      <tp>
        <v>7347.75</v>
        <stp/>
        <stp>T&amp;T1</stp>
        <stp>PRE</stp>
        <stp>313</stp>
        <tr r="H321" s="1"/>
      </tp>
      <tp>
        <v>7348</v>
        <stp/>
        <stp>T&amp;T0</stp>
        <stp>PRE</stp>
        <stp>315</stp>
        <tr r="B323" s="1"/>
      </tp>
      <tp>
        <v>7347.75</v>
        <stp/>
        <stp>T&amp;T1</stp>
        <stp>PRE</stp>
        <stp>314</stp>
        <tr r="H322" s="1"/>
      </tp>
      <tp>
        <v>7348.25</v>
        <stp/>
        <stp>T&amp;T0</stp>
        <stp>PRE</stp>
        <stp>314</stp>
        <tr r="B322" s="1"/>
      </tp>
      <tp>
        <v>7347.75</v>
        <stp/>
        <stp>T&amp;T1</stp>
        <stp>PRE</stp>
        <stp>315</stp>
        <tr r="H323" s="1"/>
      </tp>
      <tp>
        <v>7348</v>
        <stp/>
        <stp>T&amp;T0</stp>
        <stp>PRE</stp>
        <stp>317</stp>
        <tr r="B325" s="1"/>
      </tp>
      <tp>
        <v>7347.75</v>
        <stp/>
        <stp>T&amp;T1</stp>
        <stp>PRE</stp>
        <stp>316</stp>
        <tr r="H324" s="1"/>
      </tp>
      <tp>
        <v>7348</v>
        <stp/>
        <stp>T&amp;T0</stp>
        <stp>PRE</stp>
        <stp>316</stp>
        <tr r="B324" s="1"/>
      </tp>
      <tp>
        <v>7347.25</v>
        <stp/>
        <stp>T&amp;T1</stp>
        <stp>PRE</stp>
        <stp>317</stp>
        <tr r="H325" s="1"/>
      </tp>
      <tp>
        <v>7348.25</v>
        <stp/>
        <stp>T&amp;T0</stp>
        <stp>PRE</stp>
        <stp>319</stp>
        <tr r="B327" s="1"/>
      </tp>
      <tp>
        <v>2</v>
        <stp/>
        <stp>T&amp;T0</stp>
        <stp>QUL</stp>
        <stp>260</stp>
        <tr r="C268" s="1"/>
      </tp>
      <tp>
        <v>7347.5</v>
        <stp/>
        <stp>T&amp;T1</stp>
        <stp>PRE</stp>
        <stp>318</stp>
        <tr r="H326" s="1"/>
      </tp>
      <tp>
        <v>4</v>
        <stp/>
        <stp>T&amp;T1</stp>
        <stp>QUL</stp>
        <stp>261</stp>
        <tr r="I269" s="1"/>
      </tp>
      <tp>
        <v>7348.25</v>
        <stp/>
        <stp>T&amp;T0</stp>
        <stp>PRE</stp>
        <stp>318</stp>
        <tr r="B326" s="1"/>
      </tp>
      <tp>
        <v>1</v>
        <stp/>
        <stp>T&amp;T0</stp>
        <stp>QUL</stp>
        <stp>261</stp>
        <tr r="C269" s="1"/>
      </tp>
      <tp>
        <v>7347.75</v>
        <stp/>
        <stp>T&amp;T1</stp>
        <stp>PRE</stp>
        <stp>319</stp>
        <tr r="H327" s="1"/>
      </tp>
      <tp>
        <v>1</v>
        <stp/>
        <stp>T&amp;T1</stp>
        <stp>QUL</stp>
        <stp>260</stp>
        <tr r="I268" s="1"/>
      </tp>
      <tp>
        <v>1</v>
        <stp/>
        <stp>T&amp;T0</stp>
        <stp>QUL</stp>
        <stp>262</stp>
        <tr r="C270" s="1"/>
      </tp>
      <tp>
        <v>1</v>
        <stp/>
        <stp>T&amp;T1</stp>
        <stp>QUL</stp>
        <stp>263</stp>
        <tr r="I271" s="1"/>
      </tp>
      <tp>
        <v>4</v>
        <stp/>
        <stp>T&amp;T0</stp>
        <stp>QUL</stp>
        <stp>263</stp>
        <tr r="C271" s="1"/>
      </tp>
      <tp>
        <v>1</v>
        <stp/>
        <stp>T&amp;T1</stp>
        <stp>QUL</stp>
        <stp>262</stp>
        <tr r="I270" s="1"/>
      </tp>
      <tp>
        <v>1</v>
        <stp/>
        <stp>T&amp;T0</stp>
        <stp>QUL</stp>
        <stp>264</stp>
        <tr r="C272" s="1"/>
      </tp>
      <tp>
        <v>1</v>
        <stp/>
        <stp>T&amp;T1</stp>
        <stp>QUL</stp>
        <stp>265</stp>
        <tr r="I273" s="1"/>
      </tp>
      <tp>
        <v>1</v>
        <stp/>
        <stp>T&amp;T0</stp>
        <stp>QUL</stp>
        <stp>265</stp>
        <tr r="C273" s="1"/>
      </tp>
      <tp>
        <v>1</v>
        <stp/>
        <stp>T&amp;T1</stp>
        <stp>QUL</stp>
        <stp>264</stp>
        <tr r="I272" s="1"/>
      </tp>
      <tp>
        <v>2</v>
        <stp/>
        <stp>T&amp;T0</stp>
        <stp>QUL</stp>
        <stp>266</stp>
        <tr r="C274" s="1"/>
      </tp>
      <tp>
        <v>2</v>
        <stp/>
        <stp>T&amp;T1</stp>
        <stp>QUL</stp>
        <stp>267</stp>
        <tr r="I275" s="1"/>
      </tp>
      <tp>
        <v>3</v>
        <stp/>
        <stp>T&amp;T0</stp>
        <stp>QUL</stp>
        <stp>267</stp>
        <tr r="C275" s="1"/>
      </tp>
      <tp>
        <v>2</v>
        <stp/>
        <stp>T&amp;T1</stp>
        <stp>QUL</stp>
        <stp>266</stp>
        <tr r="I274" s="1"/>
      </tp>
      <tp>
        <v>1</v>
        <stp/>
        <stp>T&amp;T0</stp>
        <stp>QUL</stp>
        <stp>198</stp>
        <tr r="C206" s="1"/>
      </tp>
      <tp>
        <v>1</v>
        <stp/>
        <stp>T&amp;T1</stp>
        <stp>QUL</stp>
        <stp>199</stp>
        <tr r="I207" s="1"/>
      </tp>
      <tp>
        <v>20</v>
        <stp/>
        <stp>T&amp;T0</stp>
        <stp>QUL</stp>
        <stp>199</stp>
        <tr r="C207" s="1"/>
      </tp>
      <tp>
        <v>11</v>
        <stp/>
        <stp>T&amp;T1</stp>
        <stp>QUL</stp>
        <stp>198</stp>
        <tr r="I206" s="1"/>
      </tp>
      <tp>
        <v>1</v>
        <stp/>
        <stp>T&amp;T0</stp>
        <stp>QUL</stp>
        <stp>190</stp>
        <tr r="C198" s="1"/>
      </tp>
      <tp>
        <v>2</v>
        <stp/>
        <stp>T&amp;T1</stp>
        <stp>QUL</stp>
        <stp>191</stp>
        <tr r="I199" s="1"/>
      </tp>
      <tp>
        <v>1</v>
        <stp/>
        <stp>T&amp;T0</stp>
        <stp>QUL</stp>
        <stp>191</stp>
        <tr r="C199" s="1"/>
      </tp>
      <tp>
        <v>2</v>
        <stp/>
        <stp>T&amp;T1</stp>
        <stp>QUL</stp>
        <stp>190</stp>
        <tr r="I198" s="1"/>
      </tp>
      <tp>
        <v>1</v>
        <stp/>
        <stp>T&amp;T0</stp>
        <stp>QUL</stp>
        <stp>192</stp>
        <tr r="C200" s="1"/>
      </tp>
      <tp>
        <v>1</v>
        <stp/>
        <stp>T&amp;T1</stp>
        <stp>QUL</stp>
        <stp>193</stp>
        <tr r="I201" s="1"/>
      </tp>
      <tp>
        <v>3</v>
        <stp/>
        <stp>T&amp;T0</stp>
        <stp>QUL</stp>
        <stp>193</stp>
        <tr r="C201" s="1"/>
      </tp>
      <tp>
        <v>2</v>
        <stp/>
        <stp>T&amp;T1</stp>
        <stp>QUL</stp>
        <stp>192</stp>
        <tr r="I200" s="1"/>
      </tp>
      <tp>
        <v>1</v>
        <stp/>
        <stp>T&amp;T0</stp>
        <stp>QUL</stp>
        <stp>194</stp>
        <tr r="C202" s="1"/>
      </tp>
      <tp>
        <v>1</v>
        <stp/>
        <stp>T&amp;T1</stp>
        <stp>QUL</stp>
        <stp>195</stp>
        <tr r="I203" s="1"/>
      </tp>
      <tp>
        <v>1</v>
        <stp/>
        <stp>T&amp;T0</stp>
        <stp>QUL</stp>
        <stp>195</stp>
        <tr r="C203" s="1"/>
      </tp>
      <tp>
        <v>1</v>
        <stp/>
        <stp>T&amp;T1</stp>
        <stp>QUL</stp>
        <stp>194</stp>
        <tr r="I202" s="1"/>
      </tp>
      <tp>
        <v>1</v>
        <stp/>
        <stp>T&amp;T0</stp>
        <stp>QUL</stp>
        <stp>196</stp>
        <tr r="C204" s="1"/>
      </tp>
      <tp>
        <v>1</v>
        <stp/>
        <stp>T&amp;T1</stp>
        <stp>QUL</stp>
        <stp>197</stp>
        <tr r="I205" s="1"/>
      </tp>
      <tp>
        <v>1</v>
        <stp/>
        <stp>T&amp;T0</stp>
        <stp>QUL</stp>
        <stp>197</stp>
        <tr r="C205" s="1"/>
      </tp>
      <tp>
        <v>1</v>
        <stp/>
        <stp>T&amp;T1</stp>
        <stp>QUL</stp>
        <stp>196</stp>
        <tr r="I204" s="1"/>
      </tp>
      <tp>
        <v>3</v>
        <stp/>
        <stp>T&amp;T0</stp>
        <stp>QUL</stp>
        <stp>188</stp>
        <tr r="C196" s="1"/>
      </tp>
      <tp>
        <v>5</v>
        <stp/>
        <stp>T&amp;T1</stp>
        <stp>QUL</stp>
        <stp>189</stp>
        <tr r="I197" s="1"/>
      </tp>
      <tp>
        <v>1</v>
        <stp/>
        <stp>T&amp;T0</stp>
        <stp>QUL</stp>
        <stp>189</stp>
        <tr r="C197" s="1"/>
      </tp>
      <tp>
        <v>6</v>
        <stp/>
        <stp>T&amp;T1</stp>
        <stp>QUL</stp>
        <stp>188</stp>
        <tr r="I196" s="1"/>
      </tp>
      <tp>
        <v>2</v>
        <stp/>
        <stp>T&amp;T0</stp>
        <stp>QUL</stp>
        <stp>180</stp>
        <tr r="C188" s="1"/>
      </tp>
      <tp>
        <v>1</v>
        <stp/>
        <stp>T&amp;T1</stp>
        <stp>QUL</stp>
        <stp>181</stp>
        <tr r="I189" s="1"/>
      </tp>
      <tp>
        <v>5</v>
        <stp/>
        <stp>T&amp;T0</stp>
        <stp>QUL</stp>
        <stp>181</stp>
        <tr r="C189" s="1"/>
      </tp>
      <tp>
        <v>1</v>
        <stp/>
        <stp>T&amp;T1</stp>
        <stp>QUL</stp>
        <stp>180</stp>
        <tr r="I188" s="1"/>
      </tp>
      <tp>
        <v>6</v>
        <stp/>
        <stp>T&amp;T0</stp>
        <stp>QUL</stp>
        <stp>182</stp>
        <tr r="C190" s="1"/>
      </tp>
      <tp>
        <v>1</v>
        <stp/>
        <stp>T&amp;T1</stp>
        <stp>QUL</stp>
        <stp>183</stp>
        <tr r="I191" s="1"/>
      </tp>
      <tp>
        <v>1</v>
        <stp/>
        <stp>T&amp;T0</stp>
        <stp>QUL</stp>
        <stp>183</stp>
        <tr r="C191" s="1"/>
      </tp>
      <tp>
        <v>1</v>
        <stp/>
        <stp>T&amp;T1</stp>
        <stp>QUL</stp>
        <stp>182</stp>
        <tr r="I190" s="1"/>
      </tp>
      <tp>
        <v>1</v>
        <stp/>
        <stp>T&amp;T0</stp>
        <stp>QUL</stp>
        <stp>184</stp>
        <tr r="C192" s="1"/>
      </tp>
      <tp>
        <v>1</v>
        <stp/>
        <stp>T&amp;T1</stp>
        <stp>QUL</stp>
        <stp>185</stp>
        <tr r="I193" s="1"/>
      </tp>
      <tp>
        <v>1</v>
        <stp/>
        <stp>T&amp;T0</stp>
        <stp>QUL</stp>
        <stp>185</stp>
        <tr r="C193" s="1"/>
      </tp>
      <tp>
        <v>1</v>
        <stp/>
        <stp>T&amp;T1</stp>
        <stp>QUL</stp>
        <stp>184</stp>
        <tr r="I192" s="1"/>
      </tp>
      <tp>
        <v>4</v>
        <stp/>
        <stp>T&amp;T0</stp>
        <stp>QUL</stp>
        <stp>186</stp>
        <tr r="C194" s="1"/>
      </tp>
      <tp>
        <v>1</v>
        <stp/>
        <stp>T&amp;T1</stp>
        <stp>QUL</stp>
        <stp>187</stp>
        <tr r="I195" s="1"/>
      </tp>
      <tp>
        <v>1</v>
        <stp/>
        <stp>T&amp;T0</stp>
        <stp>QUL</stp>
        <stp>187</stp>
        <tr r="C195" s="1"/>
      </tp>
      <tp>
        <v>1</v>
        <stp/>
        <stp>T&amp;T1</stp>
        <stp>QUL</stp>
        <stp>186</stp>
        <tr r="I194" s="1"/>
      </tp>
      <tp>
        <v>6</v>
        <stp/>
        <stp>T&amp;T0</stp>
        <stp>QUL</stp>
        <stp>118</stp>
        <tr r="C126" s="1"/>
      </tp>
      <tp>
        <v>1</v>
        <stp/>
        <stp>T&amp;T1</stp>
        <stp>QUL</stp>
        <stp>119</stp>
        <tr r="I127" s="1"/>
      </tp>
      <tp>
        <v>2</v>
        <stp/>
        <stp>T&amp;T0</stp>
        <stp>QUL</stp>
        <stp>119</stp>
        <tr r="C127" s="1"/>
      </tp>
      <tp>
        <v>1</v>
        <stp/>
        <stp>T&amp;T1</stp>
        <stp>QUL</stp>
        <stp>118</stp>
        <tr r="I126" s="1"/>
      </tp>
      <tp>
        <v>1</v>
        <stp/>
        <stp>T&amp;T0</stp>
        <stp>QUL</stp>
        <stp>110</stp>
        <tr r="C118" s="1"/>
      </tp>
      <tp>
        <v>1</v>
        <stp/>
        <stp>T&amp;T1</stp>
        <stp>QUL</stp>
        <stp>111</stp>
        <tr r="I119" s="1"/>
      </tp>
      <tp>
        <v>1</v>
        <stp/>
        <stp>T&amp;T0</stp>
        <stp>QUL</stp>
        <stp>111</stp>
        <tr r="C119" s="1"/>
      </tp>
      <tp>
        <v>1</v>
        <stp/>
        <stp>T&amp;T1</stp>
        <stp>QUL</stp>
        <stp>110</stp>
        <tr r="I118" s="1"/>
      </tp>
      <tp>
        <v>1</v>
        <stp/>
        <stp>T&amp;T0</stp>
        <stp>QUL</stp>
        <stp>112</stp>
        <tr r="C120" s="1"/>
      </tp>
      <tp>
        <v>1</v>
        <stp/>
        <stp>T&amp;T1</stp>
        <stp>QUL</stp>
        <stp>113</stp>
        <tr r="I121" s="1"/>
      </tp>
      <tp>
        <v>1</v>
        <stp/>
        <stp>T&amp;T0</stp>
        <stp>QUL</stp>
        <stp>113</stp>
        <tr r="C121" s="1"/>
      </tp>
      <tp>
        <v>9</v>
        <stp/>
        <stp>T&amp;T1</stp>
        <stp>QUL</stp>
        <stp>112</stp>
        <tr r="I120" s="1"/>
      </tp>
      <tp>
        <v>1</v>
        <stp/>
        <stp>T&amp;T0</stp>
        <stp>QUL</stp>
        <stp>114</stp>
        <tr r="C122" s="1"/>
      </tp>
      <tp>
        <v>1</v>
        <stp/>
        <stp>T&amp;T1</stp>
        <stp>QUL</stp>
        <stp>115</stp>
        <tr r="I123" s="1"/>
      </tp>
      <tp>
        <v>1</v>
        <stp/>
        <stp>T&amp;T0</stp>
        <stp>QUL</stp>
        <stp>115</stp>
        <tr r="C123" s="1"/>
      </tp>
      <tp>
        <v>2</v>
        <stp/>
        <stp>T&amp;T1</stp>
        <stp>QUL</stp>
        <stp>114</stp>
        <tr r="I122" s="1"/>
      </tp>
      <tp>
        <v>1</v>
        <stp/>
        <stp>T&amp;T0</stp>
        <stp>QUL</stp>
        <stp>116</stp>
        <tr r="C124" s="1"/>
      </tp>
      <tp>
        <v>2</v>
        <stp/>
        <stp>T&amp;T1</stp>
        <stp>QUL</stp>
        <stp>117</stp>
        <tr r="I125" s="1"/>
      </tp>
      <tp>
        <v>1</v>
        <stp/>
        <stp>T&amp;T0</stp>
        <stp>QUL</stp>
        <stp>117</stp>
        <tr r="C125" s="1"/>
      </tp>
      <tp>
        <v>1</v>
        <stp/>
        <stp>T&amp;T1</stp>
        <stp>QUL</stp>
        <stp>116</stp>
        <tr r="I124" s="1"/>
      </tp>
      <tp>
        <v>1</v>
        <stp/>
        <stp>T&amp;T0</stp>
        <stp>QUL</stp>
        <stp>108</stp>
        <tr r="C116" s="1"/>
      </tp>
      <tp>
        <v>1</v>
        <stp/>
        <stp>T&amp;T1</stp>
        <stp>QUL</stp>
        <stp>109</stp>
        <tr r="I117" s="1"/>
      </tp>
      <tp>
        <v>1</v>
        <stp/>
        <stp>T&amp;T0</stp>
        <stp>QUL</stp>
        <stp>109</stp>
        <tr r="C117" s="1"/>
      </tp>
      <tp>
        <v>3</v>
        <stp/>
        <stp>T&amp;T1</stp>
        <stp>QUL</stp>
        <stp>108</stp>
        <tr r="I116" s="1"/>
      </tp>
      <tp>
        <v>1</v>
        <stp/>
        <stp>T&amp;T0</stp>
        <stp>QUL</stp>
        <stp>100</stp>
        <tr r="C108" s="1"/>
      </tp>
      <tp>
        <v>1</v>
        <stp/>
        <stp>T&amp;T1</stp>
        <stp>QUL</stp>
        <stp>101</stp>
        <tr r="I109" s="1"/>
      </tp>
      <tp>
        <v>1</v>
        <stp/>
        <stp>T&amp;T0</stp>
        <stp>QUL</stp>
        <stp>101</stp>
        <tr r="C109" s="1"/>
      </tp>
      <tp>
        <v>1</v>
        <stp/>
        <stp>T&amp;T1</stp>
        <stp>QUL</stp>
        <stp>100</stp>
        <tr r="I108" s="1"/>
      </tp>
      <tp>
        <v>1</v>
        <stp/>
        <stp>T&amp;T0</stp>
        <stp>QUL</stp>
        <stp>102</stp>
        <tr r="C110" s="1"/>
      </tp>
      <tp>
        <v>1</v>
        <stp/>
        <stp>T&amp;T1</stp>
        <stp>QUL</stp>
        <stp>103</stp>
        <tr r="I111" s="1"/>
      </tp>
      <tp>
        <v>1</v>
        <stp/>
        <stp>T&amp;T0</stp>
        <stp>QUL</stp>
        <stp>103</stp>
        <tr r="C111" s="1"/>
      </tp>
      <tp>
        <v>64</v>
        <stp/>
        <stp>T&amp;T1</stp>
        <stp>QUL</stp>
        <stp>102</stp>
        <tr r="I110" s="1"/>
      </tp>
      <tp>
        <v>1</v>
        <stp/>
        <stp>T&amp;T0</stp>
        <stp>QUL</stp>
        <stp>104</stp>
        <tr r="C112" s="1"/>
      </tp>
      <tp>
        <v>1</v>
        <stp/>
        <stp>T&amp;T1</stp>
        <stp>QUL</stp>
        <stp>105</stp>
        <tr r="I113" s="1"/>
      </tp>
      <tp>
        <v>1</v>
        <stp/>
        <stp>T&amp;T0</stp>
        <stp>QUL</stp>
        <stp>105</stp>
        <tr r="C113" s="1"/>
      </tp>
      <tp>
        <v>8</v>
        <stp/>
        <stp>T&amp;T1</stp>
        <stp>QUL</stp>
        <stp>104</stp>
        <tr r="I112" s="1"/>
      </tp>
      <tp>
        <v>3</v>
        <stp/>
        <stp>T&amp;T0</stp>
        <stp>QUL</stp>
        <stp>106</stp>
        <tr r="C114" s="1"/>
      </tp>
      <tp>
        <v>1</v>
        <stp/>
        <stp>T&amp;T1</stp>
        <stp>QUL</stp>
        <stp>107</stp>
        <tr r="I115" s="1"/>
      </tp>
      <tp>
        <v>1</v>
        <stp/>
        <stp>T&amp;T0</stp>
        <stp>QUL</stp>
        <stp>107</stp>
        <tr r="C115" s="1"/>
      </tp>
      <tp>
        <v>3</v>
        <stp/>
        <stp>T&amp;T1</stp>
        <stp>QUL</stp>
        <stp>106</stp>
        <tr r="I114" s="1"/>
      </tp>
      <tp>
        <v>1</v>
        <stp/>
        <stp>T&amp;T0</stp>
        <stp>QUL</stp>
        <stp>138</stp>
        <tr r="C146" s="1"/>
      </tp>
      <tp>
        <v>1</v>
        <stp/>
        <stp>T&amp;T1</stp>
        <stp>QUL</stp>
        <stp>139</stp>
        <tr r="I147" s="1"/>
      </tp>
      <tp>
        <v>1</v>
        <stp/>
        <stp>T&amp;T0</stp>
        <stp>QUL</stp>
        <stp>139</stp>
        <tr r="C147" s="1"/>
      </tp>
      <tp>
        <v>1</v>
        <stp/>
        <stp>T&amp;T1</stp>
        <stp>QUL</stp>
        <stp>138</stp>
        <tr r="I146" s="1"/>
      </tp>
      <tp>
        <v>1</v>
        <stp/>
        <stp>T&amp;T0</stp>
        <stp>QUL</stp>
        <stp>130</stp>
        <tr r="C138" s="1"/>
      </tp>
      <tp>
        <v>5</v>
        <stp/>
        <stp>T&amp;T1</stp>
        <stp>QUL</stp>
        <stp>131</stp>
        <tr r="I139" s="1"/>
      </tp>
      <tp>
        <v>9</v>
        <stp/>
        <stp>T&amp;T0</stp>
        <stp>QUL</stp>
        <stp>131</stp>
        <tr r="C139" s="1"/>
      </tp>
      <tp>
        <v>2</v>
        <stp/>
        <stp>T&amp;T1</stp>
        <stp>QUL</stp>
        <stp>130</stp>
        <tr r="I138" s="1"/>
      </tp>
      <tp>
        <v>3</v>
        <stp/>
        <stp>T&amp;T0</stp>
        <stp>QUL</stp>
        <stp>132</stp>
        <tr r="C140" s="1"/>
      </tp>
      <tp>
        <v>1</v>
        <stp/>
        <stp>T&amp;T1</stp>
        <stp>QUL</stp>
        <stp>133</stp>
        <tr r="I141" s="1"/>
      </tp>
      <tp>
        <v>1</v>
        <stp/>
        <stp>T&amp;T0</stp>
        <stp>QUL</stp>
        <stp>133</stp>
        <tr r="C141" s="1"/>
      </tp>
      <tp>
        <v>1</v>
        <stp/>
        <stp>T&amp;T1</stp>
        <stp>QUL</stp>
        <stp>132</stp>
        <tr r="I140" s="1"/>
      </tp>
      <tp>
        <v>9</v>
        <stp/>
        <stp>T&amp;T0</stp>
        <stp>QUL</stp>
        <stp>134</stp>
        <tr r="C142" s="1"/>
      </tp>
      <tp>
        <v>1</v>
        <stp/>
        <stp>T&amp;T1</stp>
        <stp>QUL</stp>
        <stp>135</stp>
        <tr r="I143" s="1"/>
      </tp>
      <tp>
        <v>3</v>
        <stp/>
        <stp>T&amp;T0</stp>
        <stp>QUL</stp>
        <stp>135</stp>
        <tr r="C143" s="1"/>
      </tp>
      <tp>
        <v>1</v>
        <stp/>
        <stp>T&amp;T1</stp>
        <stp>QUL</stp>
        <stp>134</stp>
        <tr r="I142" s="1"/>
      </tp>
      <tp>
        <v>1</v>
        <stp/>
        <stp>T&amp;T0</stp>
        <stp>QUL</stp>
        <stp>136</stp>
        <tr r="C144" s="1"/>
      </tp>
      <tp>
        <v>1</v>
        <stp/>
        <stp>T&amp;T1</stp>
        <stp>QUL</stp>
        <stp>137</stp>
        <tr r="I145" s="1"/>
      </tp>
      <tp>
        <v>1</v>
        <stp/>
        <stp>T&amp;T0</stp>
        <stp>QUL</stp>
        <stp>137</stp>
        <tr r="C145" s="1"/>
      </tp>
      <tp>
        <v>1</v>
        <stp/>
        <stp>T&amp;T1</stp>
        <stp>QUL</stp>
        <stp>136</stp>
        <tr r="I144" s="1"/>
      </tp>
      <tp>
        <v>1</v>
        <stp/>
        <stp>T&amp;T0</stp>
        <stp>QUL</stp>
        <stp>128</stp>
        <tr r="C136" s="1"/>
      </tp>
      <tp>
        <v>1</v>
        <stp/>
        <stp>T&amp;T1</stp>
        <stp>QUL</stp>
        <stp>129</stp>
        <tr r="I137" s="1"/>
      </tp>
      <tp>
        <v>1</v>
        <stp/>
        <stp>T&amp;T0</stp>
        <stp>QUL</stp>
        <stp>129</stp>
        <tr r="C137" s="1"/>
      </tp>
      <tp>
        <v>2</v>
        <stp/>
        <stp>T&amp;T1</stp>
        <stp>QUL</stp>
        <stp>128</stp>
        <tr r="I136" s="1"/>
      </tp>
      <tp>
        <v>1</v>
        <stp/>
        <stp>T&amp;T0</stp>
        <stp>QUL</stp>
        <stp>120</stp>
        <tr r="C128" s="1"/>
      </tp>
      <tp>
        <v>1</v>
        <stp/>
        <stp>T&amp;T1</stp>
        <stp>QUL</stp>
        <stp>121</stp>
        <tr r="I129" s="1"/>
      </tp>
      <tp>
        <v>1</v>
        <stp/>
        <stp>T&amp;T0</stp>
        <stp>QUL</stp>
        <stp>121</stp>
        <tr r="C129" s="1"/>
      </tp>
      <tp>
        <v>1</v>
        <stp/>
        <stp>T&amp;T1</stp>
        <stp>QUL</stp>
        <stp>120</stp>
        <tr r="I128" s="1"/>
      </tp>
      <tp>
        <v>6</v>
        <stp/>
        <stp>T&amp;T0</stp>
        <stp>QUL</stp>
        <stp>122</stp>
        <tr r="C130" s="1"/>
      </tp>
      <tp>
        <v>2</v>
        <stp/>
        <stp>T&amp;T1</stp>
        <stp>QUL</stp>
        <stp>123</stp>
        <tr r="I131" s="1"/>
      </tp>
      <tp>
        <v>1</v>
        <stp/>
        <stp>T&amp;T0</stp>
        <stp>QUL</stp>
        <stp>123</stp>
        <tr r="C131" s="1"/>
      </tp>
      <tp>
        <v>5</v>
        <stp/>
        <stp>T&amp;T1</stp>
        <stp>QUL</stp>
        <stp>122</stp>
        <tr r="I130" s="1"/>
      </tp>
      <tp>
        <v>1</v>
        <stp/>
        <stp>T&amp;T0</stp>
        <stp>QUL</stp>
        <stp>124</stp>
        <tr r="C132" s="1"/>
      </tp>
      <tp>
        <v>2</v>
        <stp/>
        <stp>T&amp;T1</stp>
        <stp>QUL</stp>
        <stp>125</stp>
        <tr r="I133" s="1"/>
      </tp>
      <tp>
        <v>1</v>
        <stp/>
        <stp>T&amp;T0</stp>
        <stp>QUL</stp>
        <stp>125</stp>
        <tr r="C133" s="1"/>
      </tp>
      <tp>
        <v>2</v>
        <stp/>
        <stp>T&amp;T1</stp>
        <stp>QUL</stp>
        <stp>124</stp>
        <tr r="I132" s="1"/>
      </tp>
      <tp>
        <v>1</v>
        <stp/>
        <stp>T&amp;T0</stp>
        <stp>QUL</stp>
        <stp>126</stp>
        <tr r="C134" s="1"/>
      </tp>
      <tp>
        <v>1</v>
        <stp/>
        <stp>T&amp;T1</stp>
        <stp>QUL</stp>
        <stp>127</stp>
        <tr r="I135" s="1"/>
      </tp>
      <tp>
        <v>3</v>
        <stp/>
        <stp>T&amp;T0</stp>
        <stp>QUL</stp>
        <stp>127</stp>
        <tr r="C135" s="1"/>
      </tp>
      <tp>
        <v>1</v>
        <stp/>
        <stp>T&amp;T1</stp>
        <stp>QUL</stp>
        <stp>126</stp>
        <tr r="I134" s="1"/>
      </tp>
      <tp>
        <v>1</v>
        <stp/>
        <stp>T&amp;T0</stp>
        <stp>QUL</stp>
        <stp>158</stp>
        <tr r="C166" s="1"/>
      </tp>
      <tp>
        <v>2</v>
        <stp/>
        <stp>T&amp;T1</stp>
        <stp>QUL</stp>
        <stp>159</stp>
        <tr r="I167" s="1"/>
      </tp>
      <tp>
        <v>1</v>
        <stp/>
        <stp>T&amp;T0</stp>
        <stp>QUL</stp>
        <stp>159</stp>
        <tr r="C167" s="1"/>
      </tp>
      <tp>
        <v>1</v>
        <stp/>
        <stp>T&amp;T1</stp>
        <stp>QUL</stp>
        <stp>158</stp>
        <tr r="I166" s="1"/>
      </tp>
      <tp>
        <v>2</v>
        <stp/>
        <stp>T&amp;T0</stp>
        <stp>QUL</stp>
        <stp>150</stp>
        <tr r="C158" s="1"/>
      </tp>
      <tp>
        <v>1</v>
        <stp/>
        <stp>T&amp;T1</stp>
        <stp>QUL</stp>
        <stp>151</stp>
        <tr r="I159" s="1"/>
      </tp>
      <tp>
        <v>1</v>
        <stp/>
        <stp>T&amp;T0</stp>
        <stp>QUL</stp>
        <stp>151</stp>
        <tr r="C159" s="1"/>
      </tp>
      <tp>
        <v>1</v>
        <stp/>
        <stp>T&amp;T1</stp>
        <stp>QUL</stp>
        <stp>150</stp>
        <tr r="I158" s="1"/>
      </tp>
      <tp>
        <v>1</v>
        <stp/>
        <stp>T&amp;T0</stp>
        <stp>QUL</stp>
        <stp>152</stp>
        <tr r="C160" s="1"/>
      </tp>
      <tp>
        <v>1</v>
        <stp/>
        <stp>T&amp;T1</stp>
        <stp>QUL</stp>
        <stp>153</stp>
        <tr r="I161" s="1"/>
      </tp>
      <tp>
        <v>1</v>
        <stp/>
        <stp>T&amp;T0</stp>
        <stp>QUL</stp>
        <stp>153</stp>
        <tr r="C161" s="1"/>
      </tp>
      <tp>
        <v>1</v>
        <stp/>
        <stp>T&amp;T1</stp>
        <stp>QUL</stp>
        <stp>152</stp>
        <tr r="I160" s="1"/>
      </tp>
      <tp>
        <v>1</v>
        <stp/>
        <stp>T&amp;T0</stp>
        <stp>QUL</stp>
        <stp>154</stp>
        <tr r="C162" s="1"/>
      </tp>
      <tp>
        <v>1</v>
        <stp/>
        <stp>T&amp;T1</stp>
        <stp>QUL</stp>
        <stp>155</stp>
        <tr r="I163" s="1"/>
      </tp>
      <tp>
        <v>1</v>
        <stp/>
        <stp>T&amp;T0</stp>
        <stp>QUL</stp>
        <stp>155</stp>
        <tr r="C163" s="1"/>
      </tp>
      <tp>
        <v>2</v>
        <stp/>
        <stp>T&amp;T1</stp>
        <stp>QUL</stp>
        <stp>154</stp>
        <tr r="I162" s="1"/>
      </tp>
      <tp>
        <v>1</v>
        <stp/>
        <stp>T&amp;T0</stp>
        <stp>QUL</stp>
        <stp>156</stp>
        <tr r="C164" s="1"/>
      </tp>
      <tp>
        <v>1</v>
        <stp/>
        <stp>T&amp;T1</stp>
        <stp>QUL</stp>
        <stp>157</stp>
        <tr r="I165" s="1"/>
      </tp>
      <tp>
        <v>1</v>
        <stp/>
        <stp>T&amp;T0</stp>
        <stp>QUL</stp>
        <stp>157</stp>
        <tr r="C165" s="1"/>
      </tp>
      <tp>
        <v>1</v>
        <stp/>
        <stp>T&amp;T1</stp>
        <stp>QUL</stp>
        <stp>156</stp>
        <tr r="I164" s="1"/>
      </tp>
      <tp>
        <v>1</v>
        <stp/>
        <stp>T&amp;T0</stp>
        <stp>QUL</stp>
        <stp>148</stp>
        <tr r="C156" s="1"/>
      </tp>
      <tp>
        <v>1</v>
        <stp/>
        <stp>T&amp;T1</stp>
        <stp>QUL</stp>
        <stp>149</stp>
        <tr r="I157" s="1"/>
      </tp>
      <tp>
        <v>1</v>
        <stp/>
        <stp>T&amp;T0</stp>
        <stp>QUL</stp>
        <stp>149</stp>
        <tr r="C157" s="1"/>
      </tp>
      <tp>
        <v>1</v>
        <stp/>
        <stp>T&amp;T1</stp>
        <stp>QUL</stp>
        <stp>148</stp>
        <tr r="I156" s="1"/>
      </tp>
      <tp>
        <v>1</v>
        <stp/>
        <stp>T&amp;T0</stp>
        <stp>QUL</stp>
        <stp>140</stp>
        <tr r="C148" s="1"/>
      </tp>
      <tp>
        <v>10</v>
        <stp/>
        <stp>T&amp;T1</stp>
        <stp>QUL</stp>
        <stp>141</stp>
        <tr r="I149" s="1"/>
      </tp>
      <tp>
        <v>2</v>
        <stp/>
        <stp>T&amp;T0</stp>
        <stp>QUL</stp>
        <stp>141</stp>
        <tr r="C149" s="1"/>
      </tp>
      <tp>
        <v>2</v>
        <stp/>
        <stp>T&amp;T1</stp>
        <stp>QUL</stp>
        <stp>140</stp>
        <tr r="I148" s="1"/>
      </tp>
      <tp>
        <v>3</v>
        <stp/>
        <stp>T&amp;T0</stp>
        <stp>QUL</stp>
        <stp>142</stp>
        <tr r="C150" s="1"/>
      </tp>
      <tp>
        <v>2</v>
        <stp/>
        <stp>T&amp;T1</stp>
        <stp>QUL</stp>
        <stp>143</stp>
        <tr r="I151" s="1"/>
      </tp>
      <tp>
        <v>1</v>
        <stp/>
        <stp>T&amp;T0</stp>
        <stp>QUL</stp>
        <stp>143</stp>
        <tr r="C151" s="1"/>
      </tp>
      <tp>
        <v>1</v>
        <stp/>
        <stp>T&amp;T1</stp>
        <stp>QUL</stp>
        <stp>142</stp>
        <tr r="I150" s="1"/>
      </tp>
      <tp>
        <v>1</v>
        <stp/>
        <stp>T&amp;T0</stp>
        <stp>QUL</stp>
        <stp>144</stp>
        <tr r="C152" s="1"/>
      </tp>
      <tp>
        <v>1</v>
        <stp/>
        <stp>T&amp;T1</stp>
        <stp>QUL</stp>
        <stp>145</stp>
        <tr r="I153" s="1"/>
      </tp>
      <tp>
        <v>1</v>
        <stp/>
        <stp>T&amp;T0</stp>
        <stp>QUL</stp>
        <stp>145</stp>
        <tr r="C153" s="1"/>
      </tp>
      <tp>
        <v>2</v>
        <stp/>
        <stp>T&amp;T1</stp>
        <stp>QUL</stp>
        <stp>144</stp>
        <tr r="I152" s="1"/>
      </tp>
      <tp>
        <v>1</v>
        <stp/>
        <stp>T&amp;T0</stp>
        <stp>QUL</stp>
        <stp>146</stp>
        <tr r="C154" s="1"/>
      </tp>
      <tp>
        <v>1</v>
        <stp/>
        <stp>T&amp;T1</stp>
        <stp>QUL</stp>
        <stp>147</stp>
        <tr r="I155" s="1"/>
      </tp>
      <tp>
        <v>1</v>
        <stp/>
        <stp>T&amp;T0</stp>
        <stp>QUL</stp>
        <stp>147</stp>
        <tr r="C155" s="1"/>
      </tp>
      <tp>
        <v>1</v>
        <stp/>
        <stp>T&amp;T1</stp>
        <stp>QUL</stp>
        <stp>146</stp>
        <tr r="I154" s="1"/>
      </tp>
      <tp>
        <v>1</v>
        <stp/>
        <stp>T&amp;T0</stp>
        <stp>QUL</stp>
        <stp>178</stp>
        <tr r="C186" s="1"/>
      </tp>
      <tp>
        <v>1</v>
        <stp/>
        <stp>T&amp;T1</stp>
        <stp>QUL</stp>
        <stp>179</stp>
        <tr r="I187" s="1"/>
      </tp>
      <tp>
        <v>1</v>
        <stp/>
        <stp>T&amp;T0</stp>
        <stp>QUL</stp>
        <stp>179</stp>
        <tr r="C187" s="1"/>
      </tp>
      <tp>
        <v>1</v>
        <stp/>
        <stp>T&amp;T1</stp>
        <stp>QUL</stp>
        <stp>178</stp>
        <tr r="I186" s="1"/>
      </tp>
      <tp>
        <v>1</v>
        <stp/>
        <stp>T&amp;T0</stp>
        <stp>QUL</stp>
        <stp>170</stp>
        <tr r="C178" s="1"/>
      </tp>
      <tp>
        <v>5</v>
        <stp/>
        <stp>T&amp;T1</stp>
        <stp>QUL</stp>
        <stp>171</stp>
        <tr r="I179" s="1"/>
      </tp>
      <tp>
        <v>2</v>
        <stp/>
        <stp>T&amp;T0</stp>
        <stp>QUL</stp>
        <stp>171</stp>
        <tr r="C179" s="1"/>
      </tp>
      <tp>
        <v>1</v>
        <stp/>
        <stp>T&amp;T1</stp>
        <stp>QUL</stp>
        <stp>170</stp>
        <tr r="I178" s="1"/>
      </tp>
      <tp>
        <v>1</v>
        <stp/>
        <stp>T&amp;T0</stp>
        <stp>QUL</stp>
        <stp>172</stp>
        <tr r="C180" s="1"/>
      </tp>
      <tp>
        <v>3</v>
        <stp/>
        <stp>T&amp;T1</stp>
        <stp>QUL</stp>
        <stp>173</stp>
        <tr r="I181" s="1"/>
      </tp>
      <tp>
        <v>1</v>
        <stp/>
        <stp>T&amp;T0</stp>
        <stp>QUL</stp>
        <stp>173</stp>
        <tr r="C181" s="1"/>
      </tp>
      <tp>
        <v>5</v>
        <stp/>
        <stp>T&amp;T1</stp>
        <stp>QUL</stp>
        <stp>172</stp>
        <tr r="I180" s="1"/>
      </tp>
      <tp>
        <v>4</v>
        <stp/>
        <stp>T&amp;T0</stp>
        <stp>QUL</stp>
        <stp>174</stp>
        <tr r="C182" s="1"/>
      </tp>
      <tp>
        <v>1</v>
        <stp/>
        <stp>T&amp;T1</stp>
        <stp>QUL</stp>
        <stp>175</stp>
        <tr r="I183" s="1"/>
      </tp>
      <tp>
        <v>1</v>
        <stp/>
        <stp>T&amp;T0</stp>
        <stp>QUL</stp>
        <stp>175</stp>
        <tr r="C183" s="1"/>
      </tp>
      <tp>
        <v>1</v>
        <stp/>
        <stp>T&amp;T1</stp>
        <stp>QUL</stp>
        <stp>174</stp>
        <tr r="I182" s="1"/>
      </tp>
      <tp>
        <v>1</v>
        <stp/>
        <stp>T&amp;T0</stp>
        <stp>QUL</stp>
        <stp>176</stp>
        <tr r="C184" s="1"/>
      </tp>
      <tp>
        <v>1</v>
        <stp/>
        <stp>T&amp;T1</stp>
        <stp>QUL</stp>
        <stp>177</stp>
        <tr r="I185" s="1"/>
      </tp>
      <tp>
        <v>1</v>
        <stp/>
        <stp>T&amp;T0</stp>
        <stp>QUL</stp>
        <stp>177</stp>
        <tr r="C185" s="1"/>
      </tp>
      <tp>
        <v>11</v>
        <stp/>
        <stp>T&amp;T1</stp>
        <stp>QUL</stp>
        <stp>176</stp>
        <tr r="I184" s="1"/>
      </tp>
      <tp>
        <v>1</v>
        <stp/>
        <stp>T&amp;T0</stp>
        <stp>QUL</stp>
        <stp>168</stp>
        <tr r="C176" s="1"/>
      </tp>
      <tp>
        <v>1</v>
        <stp/>
        <stp>T&amp;T1</stp>
        <stp>QUL</stp>
        <stp>169</stp>
        <tr r="I177" s="1"/>
      </tp>
      <tp>
        <v>1</v>
        <stp/>
        <stp>T&amp;T0</stp>
        <stp>QUL</stp>
        <stp>169</stp>
        <tr r="C177" s="1"/>
      </tp>
      <tp>
        <v>10</v>
        <stp/>
        <stp>T&amp;T1</stp>
        <stp>QUL</stp>
        <stp>168</stp>
        <tr r="I176" s="1"/>
      </tp>
      <tp>
        <v>5</v>
        <stp/>
        <stp>T&amp;T0</stp>
        <stp>QUL</stp>
        <stp>160</stp>
        <tr r="C168" s="1"/>
      </tp>
      <tp>
        <v>1</v>
        <stp/>
        <stp>T&amp;T1</stp>
        <stp>QUL</stp>
        <stp>161</stp>
        <tr r="I169" s="1"/>
      </tp>
      <tp>
        <v>1</v>
        <stp/>
        <stp>T&amp;T0</stp>
        <stp>QUL</stp>
        <stp>161</stp>
        <tr r="C169" s="1"/>
      </tp>
      <tp>
        <v>1</v>
        <stp/>
        <stp>T&amp;T1</stp>
        <stp>QUL</stp>
        <stp>160</stp>
        <tr r="I168" s="1"/>
      </tp>
      <tp>
        <v>1</v>
        <stp/>
        <stp>T&amp;T0</stp>
        <stp>QUL</stp>
        <stp>162</stp>
        <tr r="C170" s="1"/>
      </tp>
      <tp>
        <v>1</v>
        <stp/>
        <stp>T&amp;T1</stp>
        <stp>QUL</stp>
        <stp>163</stp>
        <tr r="I171" s="1"/>
      </tp>
      <tp>
        <v>1</v>
        <stp/>
        <stp>T&amp;T0</stp>
        <stp>QUL</stp>
        <stp>163</stp>
        <tr r="C171" s="1"/>
      </tp>
      <tp>
        <v>1</v>
        <stp/>
        <stp>T&amp;T1</stp>
        <stp>QUL</stp>
        <stp>162</stp>
        <tr r="I170" s="1"/>
      </tp>
      <tp>
        <v>1</v>
        <stp/>
        <stp>T&amp;T0</stp>
        <stp>QUL</stp>
        <stp>164</stp>
        <tr r="C172" s="1"/>
      </tp>
      <tp>
        <v>1</v>
        <stp/>
        <stp>T&amp;T1</stp>
        <stp>QUL</stp>
        <stp>165</stp>
        <tr r="I173" s="1"/>
      </tp>
      <tp>
        <v>1</v>
        <stp/>
        <stp>T&amp;T0</stp>
        <stp>QUL</stp>
        <stp>165</stp>
        <tr r="C173" s="1"/>
      </tp>
      <tp>
        <v>1</v>
        <stp/>
        <stp>T&amp;T1</stp>
        <stp>QUL</stp>
        <stp>164</stp>
        <tr r="I172" s="1"/>
      </tp>
      <tp>
        <v>1</v>
        <stp/>
        <stp>T&amp;T0</stp>
        <stp>QUL</stp>
        <stp>166</stp>
        <tr r="C174" s="1"/>
      </tp>
      <tp>
        <v>9</v>
        <stp/>
        <stp>T&amp;T1</stp>
        <stp>QUL</stp>
        <stp>167</stp>
        <tr r="I175" s="1"/>
      </tp>
      <tp>
        <v>1</v>
        <stp/>
        <stp>T&amp;T0</stp>
        <stp>QUL</stp>
        <stp>167</stp>
        <tr r="C175" s="1"/>
      </tp>
      <tp>
        <v>8</v>
        <stp/>
        <stp>T&amp;T1</stp>
        <stp>QUL</stp>
        <stp>166</stp>
        <tr r="I174" s="1"/>
      </tp>
      <tp>
        <v>7346.75</v>
        <stp/>
        <stp>T&amp;T0</stp>
        <stp>PRE</stp>
        <stp>181</stp>
        <tr r="B189" s="1"/>
      </tp>
      <tp>
        <v>7346.5</v>
        <stp/>
        <stp>T&amp;T1</stp>
        <stp>PRE</stp>
        <stp>180</stp>
        <tr r="H188" s="1"/>
      </tp>
      <tp>
        <v>7346.75</v>
        <stp/>
        <stp>T&amp;T0</stp>
        <stp>PRE</stp>
        <stp>180</stp>
        <tr r="B188" s="1"/>
      </tp>
      <tp>
        <v>7346.5</v>
        <stp/>
        <stp>T&amp;T1</stp>
        <stp>PRE</stp>
        <stp>181</stp>
        <tr r="H189" s="1"/>
      </tp>
      <tp>
        <v>7346.5</v>
        <stp/>
        <stp>T&amp;T0</stp>
        <stp>PRE</stp>
        <stp>183</stp>
        <tr r="B191" s="1"/>
      </tp>
      <tp>
        <v>7346.5</v>
        <stp/>
        <stp>T&amp;T1</stp>
        <stp>PRE</stp>
        <stp>182</stp>
        <tr r="H190" s="1"/>
      </tp>
      <tp>
        <v>7346.75</v>
        <stp/>
        <stp>T&amp;T0</stp>
        <stp>PRE</stp>
        <stp>182</stp>
        <tr r="B190" s="1"/>
      </tp>
      <tp>
        <v>7346.5</v>
        <stp/>
        <stp>T&amp;T1</stp>
        <stp>PRE</stp>
        <stp>183</stp>
        <tr r="H191" s="1"/>
      </tp>
      <tp>
        <v>7346.5</v>
        <stp/>
        <stp>T&amp;T0</stp>
        <stp>PRE</stp>
        <stp>185</stp>
        <tr r="B193" s="1"/>
      </tp>
      <tp>
        <v>7346.25</v>
        <stp/>
        <stp>T&amp;T1</stp>
        <stp>PRE</stp>
        <stp>184</stp>
        <tr r="H192" s="1"/>
      </tp>
      <tp>
        <v>7346.5</v>
        <stp/>
        <stp>T&amp;T0</stp>
        <stp>PRE</stp>
        <stp>184</stp>
        <tr r="B192" s="1"/>
      </tp>
      <tp>
        <v>7346</v>
        <stp/>
        <stp>T&amp;T1</stp>
        <stp>PRE</stp>
        <stp>185</stp>
        <tr r="H193" s="1"/>
      </tp>
      <tp>
        <v>7346.5</v>
        <stp/>
        <stp>T&amp;T0</stp>
        <stp>PRE</stp>
        <stp>187</stp>
        <tr r="B195" s="1"/>
      </tp>
      <tp>
        <v>7345.75</v>
        <stp/>
        <stp>T&amp;T1</stp>
        <stp>PRE</stp>
        <stp>186</stp>
        <tr r="H194" s="1"/>
      </tp>
      <tp>
        <v>7346.75</v>
        <stp/>
        <stp>T&amp;T0</stp>
        <stp>PRE</stp>
        <stp>186</stp>
        <tr r="B194" s="1"/>
      </tp>
      <tp>
        <v>7346</v>
        <stp/>
        <stp>T&amp;T1</stp>
        <stp>PRE</stp>
        <stp>187</stp>
        <tr r="H195" s="1"/>
      </tp>
      <tp>
        <v>7346</v>
        <stp/>
        <stp>T&amp;T0</stp>
        <stp>PRE</stp>
        <stp>189</stp>
        <tr r="B197" s="1"/>
      </tp>
      <tp>
        <v>7346</v>
        <stp/>
        <stp>T&amp;T1</stp>
        <stp>PRE</stp>
        <stp>188</stp>
        <tr r="H196" s="1"/>
      </tp>
      <tp>
        <v>7346.25</v>
        <stp/>
        <stp>T&amp;T0</stp>
        <stp>PRE</stp>
        <stp>188</stp>
        <tr r="B196" s="1"/>
      </tp>
      <tp>
        <v>7346</v>
        <stp/>
        <stp>T&amp;T1</stp>
        <stp>PRE</stp>
        <stp>189</stp>
        <tr r="H197" s="1"/>
      </tp>
      <tp>
        <v>7346</v>
        <stp/>
        <stp>T&amp;T0</stp>
        <stp>PRE</stp>
        <stp>191</stp>
        <tr r="B199" s="1"/>
      </tp>
      <tp>
        <v>7346</v>
        <stp/>
        <stp>T&amp;T1</stp>
        <stp>PRE</stp>
        <stp>190</stp>
        <tr r="H198" s="1"/>
      </tp>
      <tp>
        <v>7346</v>
        <stp/>
        <stp>T&amp;T0</stp>
        <stp>PRE</stp>
        <stp>190</stp>
        <tr r="B198" s="1"/>
      </tp>
      <tp>
        <v>7346</v>
        <stp/>
        <stp>T&amp;T1</stp>
        <stp>PRE</stp>
        <stp>191</stp>
        <tr r="H199" s="1"/>
      </tp>
      <tp>
        <v>7346.25</v>
        <stp/>
        <stp>T&amp;T0</stp>
        <stp>PRE</stp>
        <stp>193</stp>
        <tr r="B201" s="1"/>
      </tp>
      <tp>
        <v>7346</v>
        <stp/>
        <stp>T&amp;T1</stp>
        <stp>PRE</stp>
        <stp>192</stp>
        <tr r="H200" s="1"/>
      </tp>
      <tp>
        <v>7346</v>
        <stp/>
        <stp>T&amp;T0</stp>
        <stp>PRE</stp>
        <stp>192</stp>
        <tr r="B200" s="1"/>
      </tp>
      <tp>
        <v>7346.25</v>
        <stp/>
        <stp>T&amp;T1</stp>
        <stp>PRE</stp>
        <stp>193</stp>
        <tr r="H201" s="1"/>
      </tp>
      <tp>
        <v>7346.5</v>
        <stp/>
        <stp>T&amp;T0</stp>
        <stp>PRE</stp>
        <stp>195</stp>
        <tr r="B203" s="1"/>
      </tp>
      <tp>
        <v>7346.25</v>
        <stp/>
        <stp>T&amp;T1</stp>
        <stp>PRE</stp>
        <stp>194</stp>
        <tr r="H202" s="1"/>
      </tp>
      <tp>
        <v>7346.25</v>
        <stp/>
        <stp>T&amp;T0</stp>
        <stp>PRE</stp>
        <stp>194</stp>
        <tr r="B202" s="1"/>
      </tp>
      <tp>
        <v>7346.25</v>
        <stp/>
        <stp>T&amp;T1</stp>
        <stp>PRE</stp>
        <stp>195</stp>
        <tr r="H203" s="1"/>
      </tp>
      <tp>
        <v>7346.75</v>
        <stp/>
        <stp>T&amp;T0</stp>
        <stp>PRE</stp>
        <stp>197</stp>
        <tr r="B205" s="1"/>
      </tp>
      <tp>
        <v>7346.25</v>
        <stp/>
        <stp>T&amp;T1</stp>
        <stp>PRE</stp>
        <stp>196</stp>
        <tr r="H204" s="1"/>
      </tp>
      <tp>
        <v>7346.75</v>
        <stp/>
        <stp>T&amp;T0</stp>
        <stp>PRE</stp>
        <stp>196</stp>
        <tr r="B204" s="1"/>
      </tp>
      <tp>
        <v>7346.25</v>
        <stp/>
        <stp>T&amp;T1</stp>
        <stp>PRE</stp>
        <stp>197</stp>
        <tr r="H205" s="1"/>
      </tp>
      <tp>
        <v>7346.75</v>
        <stp/>
        <stp>T&amp;T0</stp>
        <stp>PRE</stp>
        <stp>199</stp>
        <tr r="B207" s="1"/>
      </tp>
      <tp>
        <v>7346.25</v>
        <stp/>
        <stp>T&amp;T1</stp>
        <stp>PRE</stp>
        <stp>198</stp>
        <tr r="H206" s="1"/>
      </tp>
      <tp>
        <v>7346.75</v>
        <stp/>
        <stp>T&amp;T0</stp>
        <stp>PRE</stp>
        <stp>198</stp>
        <tr r="B206" s="1"/>
      </tp>
      <tp>
        <v>7346.5</v>
        <stp/>
        <stp>T&amp;T1</stp>
        <stp>PRE</stp>
        <stp>199</stp>
        <tr r="H207" s="1"/>
      </tp>
      <tp>
        <v>7346.75</v>
        <stp/>
        <stp>T&amp;T0</stp>
        <stp>PRE</stp>
        <stp>161</stp>
        <tr r="B169" s="1"/>
      </tp>
      <tp>
        <v>7346</v>
        <stp/>
        <stp>T&amp;T1</stp>
        <stp>PRE</stp>
        <stp>160</stp>
        <tr r="H168" s="1"/>
      </tp>
      <tp>
        <v>7346.75</v>
        <stp/>
        <stp>T&amp;T0</stp>
        <stp>PRE</stp>
        <stp>160</stp>
        <tr r="B168" s="1"/>
      </tp>
      <tp>
        <v>7346.25</v>
        <stp/>
        <stp>T&amp;T1</stp>
        <stp>PRE</stp>
        <stp>161</stp>
        <tr r="H169" s="1"/>
      </tp>
      <tp>
        <v>7346.75</v>
        <stp/>
        <stp>T&amp;T0</stp>
        <stp>PRE</stp>
        <stp>163</stp>
        <tr r="B171" s="1"/>
      </tp>
      <tp>
        <v>7346.25</v>
        <stp/>
        <stp>T&amp;T1</stp>
        <stp>PRE</stp>
        <stp>162</stp>
        <tr r="H170" s="1"/>
      </tp>
      <tp>
        <v>7346.75</v>
        <stp/>
        <stp>T&amp;T0</stp>
        <stp>PRE</stp>
        <stp>162</stp>
        <tr r="B170" s="1"/>
      </tp>
      <tp>
        <v>7346.25</v>
        <stp/>
        <stp>T&amp;T1</stp>
        <stp>PRE</stp>
        <stp>163</stp>
        <tr r="H171" s="1"/>
      </tp>
      <tp>
        <v>7346.75</v>
        <stp/>
        <stp>T&amp;T0</stp>
        <stp>PRE</stp>
        <stp>165</stp>
        <tr r="B173" s="1"/>
      </tp>
      <tp>
        <v>7346.25</v>
        <stp/>
        <stp>T&amp;T1</stp>
        <stp>PRE</stp>
        <stp>164</stp>
        <tr r="H172" s="1"/>
      </tp>
      <tp>
        <v>7346.75</v>
        <stp/>
        <stp>T&amp;T0</stp>
        <stp>PRE</stp>
        <stp>164</stp>
        <tr r="B172" s="1"/>
      </tp>
      <tp>
        <v>7346</v>
        <stp/>
        <stp>T&amp;T1</stp>
        <stp>PRE</stp>
        <stp>165</stp>
        <tr r="H173" s="1"/>
      </tp>
      <tp>
        <v>7346.75</v>
        <stp/>
        <stp>T&amp;T0</stp>
        <stp>PRE</stp>
        <stp>167</stp>
        <tr r="B175" s="1"/>
      </tp>
      <tp>
        <v>7346</v>
        <stp/>
        <stp>T&amp;T1</stp>
        <stp>PRE</stp>
        <stp>166</stp>
        <tr r="H174" s="1"/>
      </tp>
      <tp>
        <v>7346.75</v>
        <stp/>
        <stp>T&amp;T0</stp>
        <stp>PRE</stp>
        <stp>166</stp>
        <tr r="B174" s="1"/>
      </tp>
      <tp>
        <v>7346.25</v>
        <stp/>
        <stp>T&amp;T1</stp>
        <stp>PRE</stp>
        <stp>167</stp>
        <tr r="H175" s="1"/>
      </tp>
      <tp>
        <v>7346.75</v>
        <stp/>
        <stp>T&amp;T0</stp>
        <stp>PRE</stp>
        <stp>169</stp>
        <tr r="B177" s="1"/>
      </tp>
      <tp>
        <v>7346.5</v>
        <stp/>
        <stp>T&amp;T1</stp>
        <stp>PRE</stp>
        <stp>168</stp>
        <tr r="H176" s="1"/>
      </tp>
      <tp>
        <v>7346.75</v>
        <stp/>
        <stp>T&amp;T0</stp>
        <stp>PRE</stp>
        <stp>168</stp>
        <tr r="B176" s="1"/>
      </tp>
      <tp>
        <v>7346.5</v>
        <stp/>
        <stp>T&amp;T1</stp>
        <stp>PRE</stp>
        <stp>169</stp>
        <tr r="H177" s="1"/>
      </tp>
      <tp>
        <v>7346.75</v>
        <stp/>
        <stp>T&amp;T0</stp>
        <stp>PRE</stp>
        <stp>171</stp>
        <tr r="B179" s="1"/>
      </tp>
      <tp>
        <v>7346.5</v>
        <stp/>
        <stp>T&amp;T1</stp>
        <stp>PRE</stp>
        <stp>170</stp>
        <tr r="H178" s="1"/>
      </tp>
      <tp>
        <v>7346.75</v>
        <stp/>
        <stp>T&amp;T0</stp>
        <stp>PRE</stp>
        <stp>170</stp>
        <tr r="B178" s="1"/>
      </tp>
      <tp>
        <v>7346.5</v>
        <stp/>
        <stp>T&amp;T1</stp>
        <stp>PRE</stp>
        <stp>171</stp>
        <tr r="H179" s="1"/>
      </tp>
      <tp>
        <v>7346.75</v>
        <stp/>
        <stp>T&amp;T0</stp>
        <stp>PRE</stp>
        <stp>173</stp>
        <tr r="B181" s="1"/>
      </tp>
      <tp>
        <v>7346.5</v>
        <stp/>
        <stp>T&amp;T1</stp>
        <stp>PRE</stp>
        <stp>172</stp>
        <tr r="H180" s="1"/>
      </tp>
      <tp>
        <v>7346.75</v>
        <stp/>
        <stp>T&amp;T0</stp>
        <stp>PRE</stp>
        <stp>172</stp>
        <tr r="B180" s="1"/>
      </tp>
      <tp>
        <v>7346.5</v>
        <stp/>
        <stp>T&amp;T1</stp>
        <stp>PRE</stp>
        <stp>173</stp>
        <tr r="H181" s="1"/>
      </tp>
      <tp>
        <v>7346.75</v>
        <stp/>
        <stp>T&amp;T0</stp>
        <stp>PRE</stp>
        <stp>175</stp>
        <tr r="B183" s="1"/>
      </tp>
      <tp>
        <v>7346.5</v>
        <stp/>
        <stp>T&amp;T1</stp>
        <stp>PRE</stp>
        <stp>174</stp>
        <tr r="H182" s="1"/>
      </tp>
      <tp>
        <v>7346.75</v>
        <stp/>
        <stp>T&amp;T0</stp>
        <stp>PRE</stp>
        <stp>174</stp>
        <tr r="B182" s="1"/>
      </tp>
      <tp>
        <v>7346.5</v>
        <stp/>
        <stp>T&amp;T1</stp>
        <stp>PRE</stp>
        <stp>175</stp>
        <tr r="H183" s="1"/>
      </tp>
      <tp>
        <v>7346.75</v>
        <stp/>
        <stp>T&amp;T0</stp>
        <stp>PRE</stp>
        <stp>177</stp>
        <tr r="B185" s="1"/>
      </tp>
      <tp>
        <v>7346.5</v>
        <stp/>
        <stp>T&amp;T1</stp>
        <stp>PRE</stp>
        <stp>176</stp>
        <tr r="H184" s="1"/>
      </tp>
      <tp>
        <v>7346.75</v>
        <stp/>
        <stp>T&amp;T0</stp>
        <stp>PRE</stp>
        <stp>176</stp>
        <tr r="B184" s="1"/>
      </tp>
      <tp>
        <v>7346.5</v>
        <stp/>
        <stp>T&amp;T1</stp>
        <stp>PRE</stp>
        <stp>177</stp>
        <tr r="H185" s="1"/>
      </tp>
      <tp>
        <v>7346.75</v>
        <stp/>
        <stp>T&amp;T0</stp>
        <stp>PRE</stp>
        <stp>179</stp>
        <tr r="B187" s="1"/>
      </tp>
      <tp>
        <v>7346.5</v>
        <stp/>
        <stp>T&amp;T1</stp>
        <stp>PRE</stp>
        <stp>178</stp>
        <tr r="H186" s="1"/>
      </tp>
      <tp>
        <v>7346.75</v>
        <stp/>
        <stp>T&amp;T0</stp>
        <stp>PRE</stp>
        <stp>178</stp>
        <tr r="B186" s="1"/>
      </tp>
      <tp>
        <v>7346.5</v>
        <stp/>
        <stp>T&amp;T1</stp>
        <stp>PRE</stp>
        <stp>179</stp>
        <tr r="H187" s="1"/>
      </tp>
      <tp>
        <v>7346.75</v>
        <stp/>
        <stp>T&amp;T0</stp>
        <stp>PRE</stp>
        <stp>141</stp>
        <tr r="B149" s="1"/>
      </tp>
      <tp>
        <v>7347.75</v>
        <stp/>
        <stp>T&amp;T1</stp>
        <stp>PRE</stp>
        <stp>140</stp>
        <tr r="H148" s="1"/>
      </tp>
      <tp>
        <v>7346.75</v>
        <stp/>
        <stp>T&amp;T0</stp>
        <stp>PRE</stp>
        <stp>140</stp>
        <tr r="B148" s="1"/>
      </tp>
      <tp>
        <v>7347.75</v>
        <stp/>
        <stp>T&amp;T1</stp>
        <stp>PRE</stp>
        <stp>141</stp>
        <tr r="H149" s="1"/>
      </tp>
      <tp>
        <v>7346.75</v>
        <stp/>
        <stp>T&amp;T0</stp>
        <stp>PRE</stp>
        <stp>143</stp>
        <tr r="B151" s="1"/>
      </tp>
      <tp>
        <v>7347.75</v>
        <stp/>
        <stp>T&amp;T1</stp>
        <stp>PRE</stp>
        <stp>142</stp>
        <tr r="H150" s="1"/>
      </tp>
      <tp>
        <v>7346.75</v>
        <stp/>
        <stp>T&amp;T0</stp>
        <stp>PRE</stp>
        <stp>142</stp>
        <tr r="B150" s="1"/>
      </tp>
      <tp>
        <v>7347.25</v>
        <stp/>
        <stp>T&amp;T1</stp>
        <stp>PRE</stp>
        <stp>143</stp>
        <tr r="H151" s="1"/>
      </tp>
      <tp>
        <v>7346.75</v>
        <stp/>
        <stp>T&amp;T0</stp>
        <stp>PRE</stp>
        <stp>145</stp>
        <tr r="B153" s="1"/>
      </tp>
      <tp>
        <v>7347.25</v>
        <stp/>
        <stp>T&amp;T1</stp>
        <stp>PRE</stp>
        <stp>144</stp>
        <tr r="H152" s="1"/>
      </tp>
      <tp>
        <v>7346.75</v>
        <stp/>
        <stp>T&amp;T0</stp>
        <stp>PRE</stp>
        <stp>144</stp>
        <tr r="B152" s="1"/>
      </tp>
      <tp>
        <v>7347.5</v>
        <stp/>
        <stp>T&amp;T1</stp>
        <stp>PRE</stp>
        <stp>145</stp>
        <tr r="H153" s="1"/>
      </tp>
      <tp>
        <v>7346.75</v>
        <stp/>
        <stp>T&amp;T0</stp>
        <stp>PRE</stp>
        <stp>147</stp>
        <tr r="B155" s="1"/>
      </tp>
      <tp>
        <v>7347.5</v>
        <stp/>
        <stp>T&amp;T1</stp>
        <stp>PRE</stp>
        <stp>146</stp>
        <tr r="H154" s="1"/>
      </tp>
      <tp>
        <v>7346.75</v>
        <stp/>
        <stp>T&amp;T0</stp>
        <stp>PRE</stp>
        <stp>146</stp>
        <tr r="B154" s="1"/>
      </tp>
      <tp>
        <v>7347.5</v>
        <stp/>
        <stp>T&amp;T1</stp>
        <stp>PRE</stp>
        <stp>147</stp>
        <tr r="H155" s="1"/>
      </tp>
      <tp>
        <v>7346.75</v>
        <stp/>
        <stp>T&amp;T0</stp>
        <stp>PRE</stp>
        <stp>149</stp>
        <tr r="B157" s="1"/>
      </tp>
      <tp>
        <v>7347.5</v>
        <stp/>
        <stp>T&amp;T1</stp>
        <stp>PRE</stp>
        <stp>148</stp>
        <tr r="H156" s="1"/>
      </tp>
      <tp>
        <v>7346.75</v>
        <stp/>
        <stp>T&amp;T0</stp>
        <stp>PRE</stp>
        <stp>148</stp>
        <tr r="B156" s="1"/>
      </tp>
      <tp>
        <v>7347.5</v>
        <stp/>
        <stp>T&amp;T1</stp>
        <stp>PRE</stp>
        <stp>149</stp>
        <tr r="H157" s="1"/>
      </tp>
      <tp>
        <v>7346.75</v>
        <stp/>
        <stp>T&amp;T0</stp>
        <stp>PRE</stp>
        <stp>151</stp>
        <tr r="B159" s="1"/>
      </tp>
      <tp>
        <v>7347.5</v>
        <stp/>
        <stp>T&amp;T1</stp>
        <stp>PRE</stp>
        <stp>150</stp>
        <tr r="H158" s="1"/>
      </tp>
      <tp>
        <v>7346.75</v>
        <stp/>
        <stp>T&amp;T0</stp>
        <stp>PRE</stp>
        <stp>150</stp>
        <tr r="B158" s="1"/>
      </tp>
      <tp>
        <v>7347</v>
        <stp/>
        <stp>T&amp;T1</stp>
        <stp>PRE</stp>
        <stp>151</stp>
        <tr r="H159" s="1"/>
      </tp>
      <tp>
        <v>7346.75</v>
        <stp/>
        <stp>T&amp;T0</stp>
        <stp>PRE</stp>
        <stp>153</stp>
        <tr r="B161" s="1"/>
      </tp>
      <tp>
        <v>7347</v>
        <stp/>
        <stp>T&amp;T1</stp>
        <stp>PRE</stp>
        <stp>152</stp>
        <tr r="H160" s="1"/>
      </tp>
      <tp>
        <v>7346.75</v>
        <stp/>
        <stp>T&amp;T0</stp>
        <stp>PRE</stp>
        <stp>152</stp>
        <tr r="B160" s="1"/>
      </tp>
      <tp>
        <v>7347</v>
        <stp/>
        <stp>T&amp;T1</stp>
        <stp>PRE</stp>
        <stp>153</stp>
        <tr r="H161" s="1"/>
      </tp>
      <tp>
        <v>7346.75</v>
        <stp/>
        <stp>T&amp;T0</stp>
        <stp>PRE</stp>
        <stp>155</stp>
        <tr r="B163" s="1"/>
      </tp>
      <tp>
        <v>7347</v>
        <stp/>
        <stp>T&amp;T1</stp>
        <stp>PRE</stp>
        <stp>154</stp>
        <tr r="H162" s="1"/>
      </tp>
      <tp>
        <v>7346.75</v>
        <stp/>
        <stp>T&amp;T0</stp>
        <stp>PRE</stp>
        <stp>154</stp>
        <tr r="B162" s="1"/>
      </tp>
      <tp>
        <v>7347</v>
        <stp/>
        <stp>T&amp;T1</stp>
        <stp>PRE</stp>
        <stp>155</stp>
        <tr r="H163" s="1"/>
      </tp>
      <tp>
        <v>7346.75</v>
        <stp/>
        <stp>T&amp;T0</stp>
        <stp>PRE</stp>
        <stp>157</stp>
        <tr r="B165" s="1"/>
      </tp>
      <tp>
        <v>7346.75</v>
        <stp/>
        <stp>T&amp;T1</stp>
        <stp>PRE</stp>
        <stp>156</stp>
        <tr r="H164" s="1"/>
      </tp>
      <tp>
        <v>7346.75</v>
        <stp/>
        <stp>T&amp;T0</stp>
        <stp>PRE</stp>
        <stp>156</stp>
        <tr r="B164" s="1"/>
      </tp>
      <tp>
        <v>7346</v>
        <stp/>
        <stp>T&amp;T1</stp>
        <stp>PRE</stp>
        <stp>157</stp>
        <tr r="H165" s="1"/>
      </tp>
      <tp>
        <v>7346.75</v>
        <stp/>
        <stp>T&amp;T0</stp>
        <stp>PRE</stp>
        <stp>159</stp>
        <tr r="B167" s="1"/>
      </tp>
      <tp>
        <v>7346</v>
        <stp/>
        <stp>T&amp;T1</stp>
        <stp>PRE</stp>
        <stp>158</stp>
        <tr r="H166" s="1"/>
      </tp>
      <tp>
        <v>7346.75</v>
        <stp/>
        <stp>T&amp;T0</stp>
        <stp>PRE</stp>
        <stp>158</stp>
        <tr r="B166" s="1"/>
      </tp>
      <tp>
        <v>7346.25</v>
        <stp/>
        <stp>T&amp;T1</stp>
        <stp>PRE</stp>
        <stp>159</stp>
        <tr r="H167" s="1"/>
      </tp>
      <tp>
        <v>7346.75</v>
        <stp/>
        <stp>T&amp;T0</stp>
        <stp>PRE</stp>
        <stp>121</stp>
        <tr r="B129" s="1"/>
      </tp>
      <tp>
        <v>7347.25</v>
        <stp/>
        <stp>T&amp;T1</stp>
        <stp>PRE</stp>
        <stp>120</stp>
        <tr r="H128" s="1"/>
      </tp>
      <tp>
        <v>7346.75</v>
        <stp/>
        <stp>T&amp;T0</stp>
        <stp>PRE</stp>
        <stp>120</stp>
        <tr r="B128" s="1"/>
      </tp>
      <tp>
        <v>7347.25</v>
        <stp/>
        <stp>T&amp;T1</stp>
        <stp>PRE</stp>
        <stp>121</stp>
        <tr r="H129" s="1"/>
      </tp>
      <tp>
        <v>7346.75</v>
        <stp/>
        <stp>T&amp;T0</stp>
        <stp>PRE</stp>
        <stp>123</stp>
        <tr r="B131" s="1"/>
      </tp>
      <tp>
        <v>7347.25</v>
        <stp/>
        <stp>T&amp;T1</stp>
        <stp>PRE</stp>
        <stp>122</stp>
        <tr r="H130" s="1"/>
      </tp>
      <tp>
        <v>7346.75</v>
        <stp/>
        <stp>T&amp;T0</stp>
        <stp>PRE</stp>
        <stp>122</stp>
        <tr r="B130" s="1"/>
      </tp>
      <tp>
        <v>7347.25</v>
        <stp/>
        <stp>T&amp;T1</stp>
        <stp>PRE</stp>
        <stp>123</stp>
        <tr r="H131" s="1"/>
      </tp>
      <tp>
        <v>7346.5</v>
        <stp/>
        <stp>T&amp;T0</stp>
        <stp>PRE</stp>
        <stp>125</stp>
        <tr r="B133" s="1"/>
      </tp>
      <tp>
        <v>7347.5</v>
        <stp/>
        <stp>T&amp;T1</stp>
        <stp>PRE</stp>
        <stp>124</stp>
        <tr r="H132" s="1"/>
      </tp>
      <tp>
        <v>7346.5</v>
        <stp/>
        <stp>T&amp;T0</stp>
        <stp>PRE</stp>
        <stp>124</stp>
        <tr r="B132" s="1"/>
      </tp>
      <tp>
        <v>7347.5</v>
        <stp/>
        <stp>T&amp;T1</stp>
        <stp>PRE</stp>
        <stp>125</stp>
        <tr r="H133" s="1"/>
      </tp>
      <tp>
        <v>7346.5</v>
        <stp/>
        <stp>T&amp;T0</stp>
        <stp>PRE</stp>
        <stp>127</stp>
        <tr r="B135" s="1"/>
      </tp>
      <tp>
        <v>7347.5</v>
        <stp/>
        <stp>T&amp;T1</stp>
        <stp>PRE</stp>
        <stp>126</stp>
        <tr r="H134" s="1"/>
      </tp>
      <tp>
        <v>7346.5</v>
        <stp/>
        <stp>T&amp;T0</stp>
        <stp>PRE</stp>
        <stp>126</stp>
        <tr r="B134" s="1"/>
      </tp>
      <tp>
        <v>7347.5</v>
        <stp/>
        <stp>T&amp;T1</stp>
        <stp>PRE</stp>
        <stp>127</stp>
        <tr r="H135" s="1"/>
      </tp>
      <tp>
        <v>7346.5</v>
        <stp/>
        <stp>T&amp;T0</stp>
        <stp>PRE</stp>
        <stp>129</stp>
        <tr r="B137" s="1"/>
      </tp>
      <tp>
        <v>7347.5</v>
        <stp/>
        <stp>T&amp;T1</stp>
        <stp>PRE</stp>
        <stp>128</stp>
        <tr r="H136" s="1"/>
      </tp>
      <tp>
        <v>7346.5</v>
        <stp/>
        <stp>T&amp;T0</stp>
        <stp>PRE</stp>
        <stp>128</stp>
        <tr r="B136" s="1"/>
      </tp>
      <tp>
        <v>7347.75</v>
        <stp/>
        <stp>T&amp;T1</stp>
        <stp>PRE</stp>
        <stp>129</stp>
        <tr r="H137" s="1"/>
      </tp>
      <tp>
        <v>7346.5</v>
        <stp/>
        <stp>T&amp;T0</stp>
        <stp>PRE</stp>
        <stp>131</stp>
        <tr r="B139" s="1"/>
      </tp>
      <tp>
        <v>7347.75</v>
        <stp/>
        <stp>T&amp;T1</stp>
        <stp>PRE</stp>
        <stp>130</stp>
        <tr r="H138" s="1"/>
      </tp>
      <tp>
        <v>7346.5</v>
        <stp/>
        <stp>T&amp;T0</stp>
        <stp>PRE</stp>
        <stp>130</stp>
        <tr r="B138" s="1"/>
      </tp>
      <tp>
        <v>7347.75</v>
        <stp/>
        <stp>T&amp;T1</stp>
        <stp>PRE</stp>
        <stp>131</stp>
        <tr r="H139" s="1"/>
      </tp>
      <tp>
        <v>7346.5</v>
        <stp/>
        <stp>T&amp;T0</stp>
        <stp>PRE</stp>
        <stp>133</stp>
        <tr r="B141" s="1"/>
      </tp>
      <tp>
        <v>7347.75</v>
        <stp/>
        <stp>T&amp;T1</stp>
        <stp>PRE</stp>
        <stp>132</stp>
        <tr r="H140" s="1"/>
      </tp>
      <tp>
        <v>7346.5</v>
        <stp/>
        <stp>T&amp;T0</stp>
        <stp>PRE</stp>
        <stp>132</stp>
        <tr r="B140" s="1"/>
      </tp>
      <tp>
        <v>7347.75</v>
        <stp/>
        <stp>T&amp;T1</stp>
        <stp>PRE</stp>
        <stp>133</stp>
        <tr r="H141" s="1"/>
      </tp>
      <tp>
        <v>7346.5</v>
        <stp/>
        <stp>T&amp;T0</stp>
        <stp>PRE</stp>
        <stp>135</stp>
        <tr r="B143" s="1"/>
      </tp>
      <tp>
        <v>7347.75</v>
        <stp/>
        <stp>T&amp;T1</stp>
        <stp>PRE</stp>
        <stp>134</stp>
        <tr r="H142" s="1"/>
      </tp>
      <tp>
        <v>7346.5</v>
        <stp/>
        <stp>T&amp;T0</stp>
        <stp>PRE</stp>
        <stp>134</stp>
        <tr r="B142" s="1"/>
      </tp>
      <tp>
        <v>7347.75</v>
        <stp/>
        <stp>T&amp;T1</stp>
        <stp>PRE</stp>
        <stp>135</stp>
        <tr r="H143" s="1"/>
      </tp>
      <tp>
        <v>7346.5</v>
        <stp/>
        <stp>T&amp;T0</stp>
        <stp>PRE</stp>
        <stp>137</stp>
        <tr r="B145" s="1"/>
      </tp>
      <tp>
        <v>7347.75</v>
        <stp/>
        <stp>T&amp;T1</stp>
        <stp>PRE</stp>
        <stp>136</stp>
        <tr r="H144" s="1"/>
      </tp>
      <tp>
        <v>7346.5</v>
        <stp/>
        <stp>T&amp;T0</stp>
        <stp>PRE</stp>
        <stp>136</stp>
        <tr r="B144" s="1"/>
      </tp>
      <tp>
        <v>7347.75</v>
        <stp/>
        <stp>T&amp;T1</stp>
        <stp>PRE</stp>
        <stp>137</stp>
        <tr r="H145" s="1"/>
      </tp>
      <tp>
        <v>7346.75</v>
        <stp/>
        <stp>T&amp;T0</stp>
        <stp>PRE</stp>
        <stp>139</stp>
        <tr r="B147" s="1"/>
      </tp>
      <tp>
        <v>7347.75</v>
        <stp/>
        <stp>T&amp;T1</stp>
        <stp>PRE</stp>
        <stp>138</stp>
        <tr r="H146" s="1"/>
      </tp>
      <tp>
        <v>7346.75</v>
        <stp/>
        <stp>T&amp;T0</stp>
        <stp>PRE</stp>
        <stp>138</stp>
        <tr r="B146" s="1"/>
      </tp>
      <tp>
        <v>7347.75</v>
        <stp/>
        <stp>T&amp;T1</stp>
        <stp>PRE</stp>
        <stp>139</stp>
        <tr r="H147" s="1"/>
      </tp>
      <tp>
        <v>7346.75</v>
        <stp/>
        <stp>T&amp;T0</stp>
        <stp>PRE</stp>
        <stp>101</stp>
        <tr r="B109" s="1"/>
      </tp>
      <tp>
        <v>7347</v>
        <stp/>
        <stp>T&amp;T1</stp>
        <stp>PRE</stp>
        <stp>100</stp>
        <tr r="H108" s="1"/>
      </tp>
      <tp>
        <v>7346</v>
        <stp/>
        <stp>T&amp;T0</stp>
        <stp>PRE</stp>
        <stp>100</stp>
        <tr r="B108" s="1"/>
      </tp>
      <tp>
        <v>7346.75</v>
        <stp/>
        <stp>T&amp;T1</stp>
        <stp>PRE</stp>
        <stp>101</stp>
        <tr r="H109" s="1"/>
      </tp>
      <tp>
        <v>7346.75</v>
        <stp/>
        <stp>T&amp;T0</stp>
        <stp>PRE</stp>
        <stp>103</stp>
        <tr r="B111" s="1"/>
      </tp>
      <tp>
        <v>7346.75</v>
        <stp/>
        <stp>T&amp;T1</stp>
        <stp>PRE</stp>
        <stp>102</stp>
        <tr r="H110" s="1"/>
      </tp>
      <tp>
        <v>7346.75</v>
        <stp/>
        <stp>T&amp;T0</stp>
        <stp>PRE</stp>
        <stp>102</stp>
        <tr r="B110" s="1"/>
      </tp>
      <tp>
        <v>7347</v>
        <stp/>
        <stp>T&amp;T1</stp>
        <stp>PRE</stp>
        <stp>103</stp>
        <tr r="H111" s="1"/>
      </tp>
      <tp>
        <v>7346.75</v>
        <stp/>
        <stp>T&amp;T0</stp>
        <stp>PRE</stp>
        <stp>105</stp>
        <tr r="B113" s="1"/>
      </tp>
      <tp>
        <v>7347</v>
        <stp/>
        <stp>T&amp;T1</stp>
        <stp>PRE</stp>
        <stp>104</stp>
        <tr r="H112" s="1"/>
      </tp>
      <tp>
        <v>7346.75</v>
        <stp/>
        <stp>T&amp;T0</stp>
        <stp>PRE</stp>
        <stp>104</stp>
        <tr r="B112" s="1"/>
      </tp>
      <tp>
        <v>7347</v>
        <stp/>
        <stp>T&amp;T1</stp>
        <stp>PRE</stp>
        <stp>105</stp>
        <tr r="H113" s="1"/>
      </tp>
      <tp>
        <v>7346.75</v>
        <stp/>
        <stp>T&amp;T0</stp>
        <stp>PRE</stp>
        <stp>107</stp>
        <tr r="B115" s="1"/>
      </tp>
      <tp>
        <v>7347</v>
        <stp/>
        <stp>T&amp;T1</stp>
        <stp>PRE</stp>
        <stp>106</stp>
        <tr r="H114" s="1"/>
      </tp>
      <tp>
        <v>7346.75</v>
        <stp/>
        <stp>T&amp;T0</stp>
        <stp>PRE</stp>
        <stp>106</stp>
        <tr r="B114" s="1"/>
      </tp>
      <tp>
        <v>7347</v>
        <stp/>
        <stp>T&amp;T1</stp>
        <stp>PRE</stp>
        <stp>107</stp>
        <tr r="H115" s="1"/>
      </tp>
      <tp>
        <v>7346.75</v>
        <stp/>
        <stp>T&amp;T0</stp>
        <stp>PRE</stp>
        <stp>109</stp>
        <tr r="B117" s="1"/>
      </tp>
      <tp>
        <v>7347</v>
        <stp/>
        <stp>T&amp;T1</stp>
        <stp>PRE</stp>
        <stp>108</stp>
        <tr r="H116" s="1"/>
      </tp>
      <tp>
        <v>7346.75</v>
        <stp/>
        <stp>T&amp;T0</stp>
        <stp>PRE</stp>
        <stp>108</stp>
        <tr r="B116" s="1"/>
      </tp>
      <tp>
        <v>7347</v>
        <stp/>
        <stp>T&amp;T1</stp>
        <stp>PRE</stp>
        <stp>109</stp>
        <tr r="H117" s="1"/>
      </tp>
      <tp>
        <v>7346.75</v>
        <stp/>
        <stp>T&amp;T0</stp>
        <stp>PRE</stp>
        <stp>111</stp>
        <tr r="B119" s="1"/>
      </tp>
      <tp>
        <v>7347</v>
        <stp/>
        <stp>T&amp;T1</stp>
        <stp>PRE</stp>
        <stp>110</stp>
        <tr r="H118" s="1"/>
      </tp>
      <tp>
        <v>7346.75</v>
        <stp/>
        <stp>T&amp;T0</stp>
        <stp>PRE</stp>
        <stp>110</stp>
        <tr r="B118" s="1"/>
      </tp>
      <tp>
        <v>7347</v>
        <stp/>
        <stp>T&amp;T1</stp>
        <stp>PRE</stp>
        <stp>111</stp>
        <tr r="H119" s="1"/>
      </tp>
      <tp>
        <v>7346.75</v>
        <stp/>
        <stp>T&amp;T0</stp>
        <stp>PRE</stp>
        <stp>113</stp>
        <tr r="B121" s="1"/>
      </tp>
      <tp>
        <v>7347</v>
        <stp/>
        <stp>T&amp;T1</stp>
        <stp>PRE</stp>
        <stp>112</stp>
        <tr r="H120" s="1"/>
      </tp>
      <tp>
        <v>7346.75</v>
        <stp/>
        <stp>T&amp;T0</stp>
        <stp>PRE</stp>
        <stp>112</stp>
        <tr r="B120" s="1"/>
      </tp>
      <tp>
        <v>7347</v>
        <stp/>
        <stp>T&amp;T1</stp>
        <stp>PRE</stp>
        <stp>113</stp>
        <tr r="H121" s="1"/>
      </tp>
      <tp>
        <v>7346.75</v>
        <stp/>
        <stp>T&amp;T0</stp>
        <stp>PRE</stp>
        <stp>115</stp>
        <tr r="B123" s="1"/>
      </tp>
      <tp>
        <v>7347.25</v>
        <stp/>
        <stp>T&amp;T1</stp>
        <stp>PRE</stp>
        <stp>114</stp>
        <tr r="H122" s="1"/>
      </tp>
      <tp>
        <v>7346.75</v>
        <stp/>
        <stp>T&amp;T0</stp>
        <stp>PRE</stp>
        <stp>114</stp>
        <tr r="B122" s="1"/>
      </tp>
      <tp>
        <v>7347.25</v>
        <stp/>
        <stp>T&amp;T1</stp>
        <stp>PRE</stp>
        <stp>115</stp>
        <tr r="H123" s="1"/>
      </tp>
      <tp>
        <v>7346.75</v>
        <stp/>
        <stp>T&amp;T0</stp>
        <stp>PRE</stp>
        <stp>117</stp>
        <tr r="B125" s="1"/>
      </tp>
      <tp>
        <v>7347.5</v>
        <stp/>
        <stp>T&amp;T1</stp>
        <stp>PRE</stp>
        <stp>116</stp>
        <tr r="H124" s="1"/>
      </tp>
      <tp>
        <v>7346.75</v>
        <stp/>
        <stp>T&amp;T0</stp>
        <stp>PRE</stp>
        <stp>116</stp>
        <tr r="B124" s="1"/>
      </tp>
      <tp>
        <v>7347.5</v>
        <stp/>
        <stp>T&amp;T1</stp>
        <stp>PRE</stp>
        <stp>117</stp>
        <tr r="H125" s="1"/>
      </tp>
      <tp>
        <v>7346.75</v>
        <stp/>
        <stp>T&amp;T0</stp>
        <stp>PRE</stp>
        <stp>119</stp>
        <tr r="B127" s="1"/>
      </tp>
      <tp>
        <v>7347.5</v>
        <stp/>
        <stp>T&amp;T1</stp>
        <stp>PRE</stp>
        <stp>118</stp>
        <tr r="H126" s="1"/>
      </tp>
      <tp>
        <v>7346.75</v>
        <stp/>
        <stp>T&amp;T0</stp>
        <stp>PRE</stp>
        <stp>118</stp>
        <tr r="B126" s="1"/>
      </tp>
      <tp>
        <v>7347.5</v>
        <stp/>
        <stp>T&amp;T1</stp>
        <stp>PRE</stp>
        <stp>119</stp>
        <tr r="H127" s="1"/>
      </tp>
      <tp>
        <v>7348.5</v>
        <stp/>
        <stp>T&amp;T0</stp>
        <stp>PRE</stp>
        <stp>481</stp>
        <tr r="B489" s="1"/>
      </tp>
      <tp>
        <v>7349.25</v>
        <stp/>
        <stp>T&amp;T1</stp>
        <stp>PRE</stp>
        <stp>480</stp>
        <tr r="H488" s="1"/>
      </tp>
      <tp>
        <v>7348.25</v>
        <stp/>
        <stp>T&amp;T0</stp>
        <stp>PRE</stp>
        <stp>480</stp>
        <tr r="B488" s="1"/>
      </tp>
      <tp>
        <v>7349.25</v>
        <stp/>
        <stp>T&amp;T1</stp>
        <stp>PRE</stp>
        <stp>481</stp>
        <tr r="H489" s="1"/>
      </tp>
      <tp>
        <v>7348.5</v>
        <stp/>
        <stp>T&amp;T0</stp>
        <stp>PRE</stp>
        <stp>483</stp>
        <tr r="B491" s="1"/>
      </tp>
      <tp>
        <v>7349.25</v>
        <stp/>
        <stp>T&amp;T1</stp>
        <stp>PRE</stp>
        <stp>482</stp>
        <tr r="H490" s="1"/>
      </tp>
      <tp>
        <v>7348.5</v>
        <stp/>
        <stp>T&amp;T0</stp>
        <stp>PRE</stp>
        <stp>482</stp>
        <tr r="B490" s="1"/>
      </tp>
      <tp>
        <v>7349.25</v>
        <stp/>
        <stp>T&amp;T1</stp>
        <stp>PRE</stp>
        <stp>483</stp>
        <tr r="H491" s="1"/>
      </tp>
      <tp>
        <v>7348.25</v>
        <stp/>
        <stp>T&amp;T0</stp>
        <stp>PRE</stp>
        <stp>485</stp>
        <tr r="B493" s="1"/>
      </tp>
      <tp>
        <v>7349.25</v>
        <stp/>
        <stp>T&amp;T1</stp>
        <stp>PRE</stp>
        <stp>484</stp>
        <tr r="H492" s="1"/>
      </tp>
      <tp>
        <v>7348.25</v>
        <stp/>
        <stp>T&amp;T0</stp>
        <stp>PRE</stp>
        <stp>484</stp>
        <tr r="B492" s="1"/>
      </tp>
      <tp>
        <v>7349</v>
        <stp/>
        <stp>T&amp;T1</stp>
        <stp>PRE</stp>
        <stp>485</stp>
        <tr r="H493" s="1"/>
      </tp>
      <tp>
        <v>7348</v>
        <stp/>
        <stp>T&amp;T0</stp>
        <stp>PRE</stp>
        <stp>487</stp>
        <tr r="B495" s="1"/>
      </tp>
      <tp>
        <v>7349</v>
        <stp/>
        <stp>T&amp;T1</stp>
        <stp>PRE</stp>
        <stp>486</stp>
        <tr r="H494" s="1"/>
      </tp>
      <tp>
        <v>7348</v>
        <stp/>
        <stp>T&amp;T0</stp>
        <stp>PRE</stp>
        <stp>486</stp>
        <tr r="B494" s="1"/>
      </tp>
      <tp>
        <v>7349.25</v>
        <stp/>
        <stp>T&amp;T1</stp>
        <stp>PRE</stp>
        <stp>487</stp>
        <tr r="H495" s="1"/>
      </tp>
      <tp>
        <v>7348</v>
        <stp/>
        <stp>T&amp;T0</stp>
        <stp>PRE</stp>
        <stp>489</stp>
        <tr r="B497" s="1"/>
      </tp>
      <tp>
        <v>7349.25</v>
        <stp/>
        <stp>T&amp;T1</stp>
        <stp>PRE</stp>
        <stp>488</stp>
        <tr r="H496" s="1"/>
      </tp>
      <tp>
        <v>7348</v>
        <stp/>
        <stp>T&amp;T0</stp>
        <stp>PRE</stp>
        <stp>488</stp>
        <tr r="B496" s="1"/>
      </tp>
      <tp>
        <v>7349</v>
        <stp/>
        <stp>T&amp;T1</stp>
        <stp>PRE</stp>
        <stp>489</stp>
        <tr r="H497" s="1"/>
      </tp>
      <tp>
        <v>7348</v>
        <stp/>
        <stp>T&amp;T0</stp>
        <stp>PRE</stp>
        <stp>491</stp>
        <tr r="B499" s="1"/>
      </tp>
      <tp>
        <v>7349</v>
        <stp/>
        <stp>T&amp;T1</stp>
        <stp>PRE</stp>
        <stp>490</stp>
        <tr r="H498" s="1"/>
      </tp>
      <tp>
        <v>7348</v>
        <stp/>
        <stp>T&amp;T0</stp>
        <stp>PRE</stp>
        <stp>490</stp>
        <tr r="B498" s="1"/>
      </tp>
      <tp>
        <v>7348.75</v>
        <stp/>
        <stp>T&amp;T1</stp>
        <stp>PRE</stp>
        <stp>491</stp>
        <tr r="H499" s="1"/>
      </tp>
      <tp>
        <v>7348</v>
        <stp/>
        <stp>T&amp;T0</stp>
        <stp>PRE</stp>
        <stp>493</stp>
        <tr r="B501" s="1"/>
      </tp>
      <tp>
        <v>7348.75</v>
        <stp/>
        <stp>T&amp;T1</stp>
        <stp>PRE</stp>
        <stp>492</stp>
        <tr r="H500" s="1"/>
      </tp>
      <tp>
        <v>7348.25</v>
        <stp/>
        <stp>T&amp;T0</stp>
        <stp>PRE</stp>
        <stp>492</stp>
        <tr r="B500" s="1"/>
      </tp>
      <tp>
        <v>7347.25</v>
        <stp/>
        <stp>T&amp;T1</stp>
        <stp>PRE</stp>
        <stp>493</stp>
        <tr r="H501" s="1"/>
      </tp>
      <tp>
        <v>7348.25</v>
        <stp/>
        <stp>T&amp;T0</stp>
        <stp>PRE</stp>
        <stp>495</stp>
        <tr r="B503" s="1"/>
      </tp>
      <tp>
        <v>7347.25</v>
        <stp/>
        <stp>T&amp;T1</stp>
        <stp>PRE</stp>
        <stp>494</stp>
        <tr r="H502" s="1"/>
      </tp>
      <tp>
        <v>7348.25</v>
        <stp/>
        <stp>T&amp;T0</stp>
        <stp>PRE</stp>
        <stp>494</stp>
        <tr r="B502" s="1"/>
      </tp>
      <tp>
        <v>7347.25</v>
        <stp/>
        <stp>T&amp;T1</stp>
        <stp>PRE</stp>
        <stp>495</stp>
        <tr r="H503" s="1"/>
      </tp>
      <tp>
        <v>7348.25</v>
        <stp/>
        <stp>T&amp;T0</stp>
        <stp>PRE</stp>
        <stp>497</stp>
        <tr r="B505" s="1"/>
      </tp>
      <tp>
        <v>7347.25</v>
        <stp/>
        <stp>T&amp;T1</stp>
        <stp>PRE</stp>
        <stp>496</stp>
        <tr r="H504" s="1"/>
      </tp>
      <tp>
        <v>7348.25</v>
        <stp/>
        <stp>T&amp;T0</stp>
        <stp>PRE</stp>
        <stp>496</stp>
        <tr r="B504" s="1"/>
      </tp>
      <tp>
        <v>7347.25</v>
        <stp/>
        <stp>T&amp;T1</stp>
        <stp>PRE</stp>
        <stp>497</stp>
        <tr r="H505" s="1"/>
      </tp>
      <tp>
        <v>7348.25</v>
        <stp/>
        <stp>T&amp;T0</stp>
        <stp>PRE</stp>
        <stp>499</stp>
        <tr r="B507" s="1"/>
      </tp>
      <tp>
        <v>7347.25</v>
        <stp/>
        <stp>T&amp;T1</stp>
        <stp>PRE</stp>
        <stp>498</stp>
        <tr r="H506" s="1"/>
      </tp>
      <tp>
        <v>7348.25</v>
        <stp/>
        <stp>T&amp;T0</stp>
        <stp>PRE</stp>
        <stp>498</stp>
        <tr r="B506" s="1"/>
      </tp>
      <tp>
        <v>7347.25</v>
        <stp/>
        <stp>T&amp;T1</stp>
        <stp>PRE</stp>
        <stp>499</stp>
        <tr r="H507" s="1"/>
      </tp>
      <tp>
        <v>7346.5</v>
        <stp/>
        <stp>T&amp;T0</stp>
        <stp>PRE</stp>
        <stp>461</stp>
        <tr r="B469" s="1"/>
      </tp>
      <tp>
        <v>7349.75</v>
        <stp/>
        <stp>T&amp;T1</stp>
        <stp>PRE</stp>
        <stp>460</stp>
        <tr r="H468" s="1"/>
      </tp>
      <tp>
        <v>7346.75</v>
        <stp/>
        <stp>T&amp;T0</stp>
        <stp>PRE</stp>
        <stp>460</stp>
        <tr r="B468" s="1"/>
      </tp>
      <tp>
        <v>7349.75</v>
        <stp/>
        <stp>T&amp;T1</stp>
        <stp>PRE</stp>
        <stp>461</stp>
        <tr r="H469" s="1"/>
      </tp>
      <tp>
        <v>7347.25</v>
        <stp/>
        <stp>T&amp;T0</stp>
        <stp>PRE</stp>
        <stp>463</stp>
        <tr r="B471" s="1"/>
      </tp>
      <tp>
        <v>7350</v>
        <stp/>
        <stp>T&amp;T1</stp>
        <stp>PRE</stp>
        <stp>462</stp>
        <tr r="H470" s="1"/>
      </tp>
      <tp>
        <v>7347.25</v>
        <stp/>
        <stp>T&amp;T0</stp>
        <stp>PRE</stp>
        <stp>462</stp>
        <tr r="B470" s="1"/>
      </tp>
      <tp>
        <v>7350.25</v>
        <stp/>
        <stp>T&amp;T1</stp>
        <stp>PRE</stp>
        <stp>463</stp>
        <tr r="H471" s="1"/>
      </tp>
      <tp>
        <v>7347.5</v>
        <stp/>
        <stp>T&amp;T0</stp>
        <stp>PRE</stp>
        <stp>465</stp>
        <tr r="B473" s="1"/>
      </tp>
      <tp>
        <v>7350.25</v>
        <stp/>
        <stp>T&amp;T1</stp>
        <stp>PRE</stp>
        <stp>464</stp>
        <tr r="H472" s="1"/>
      </tp>
      <tp>
        <v>7347.5</v>
        <stp/>
        <stp>T&amp;T0</stp>
        <stp>PRE</stp>
        <stp>464</stp>
        <tr r="B472" s="1"/>
      </tp>
      <tp>
        <v>7349.75</v>
        <stp/>
        <stp>T&amp;T1</stp>
        <stp>PRE</stp>
        <stp>465</stp>
        <tr r="H473" s="1"/>
      </tp>
      <tp>
        <v>7347.5</v>
        <stp/>
        <stp>T&amp;T0</stp>
        <stp>PRE</stp>
        <stp>467</stp>
        <tr r="B475" s="1"/>
      </tp>
      <tp>
        <v>7349.75</v>
        <stp/>
        <stp>T&amp;T1</stp>
        <stp>PRE</stp>
        <stp>466</stp>
        <tr r="H474" s="1"/>
      </tp>
      <tp>
        <v>7347.5</v>
        <stp/>
        <stp>T&amp;T0</stp>
        <stp>PRE</stp>
        <stp>466</stp>
        <tr r="B474" s="1"/>
      </tp>
      <tp>
        <v>7349.75</v>
        <stp/>
        <stp>T&amp;T1</stp>
        <stp>PRE</stp>
        <stp>467</stp>
        <tr r="H475" s="1"/>
      </tp>
      <tp>
        <v>7347.75</v>
        <stp/>
        <stp>T&amp;T0</stp>
        <stp>PRE</stp>
        <stp>469</stp>
        <tr r="B477" s="1"/>
      </tp>
      <tp>
        <v>7349.75</v>
        <stp/>
        <stp>T&amp;T1</stp>
        <stp>PRE</stp>
        <stp>468</stp>
        <tr r="H476" s="1"/>
      </tp>
      <tp>
        <v>7348</v>
        <stp/>
        <stp>T&amp;T0</stp>
        <stp>PRE</stp>
        <stp>468</stp>
        <tr r="B476" s="1"/>
      </tp>
      <tp>
        <v>7349.75</v>
        <stp/>
        <stp>T&amp;T1</stp>
        <stp>PRE</stp>
        <stp>469</stp>
        <tr r="H477" s="1"/>
      </tp>
      <tp>
        <v>7347.25</v>
        <stp/>
        <stp>T&amp;T0</stp>
        <stp>PRE</stp>
        <stp>471</stp>
        <tr r="B479" s="1"/>
      </tp>
      <tp>
        <v>7349.5</v>
        <stp/>
        <stp>T&amp;T1</stp>
        <stp>PRE</stp>
        <stp>470</stp>
        <tr r="H478" s="1"/>
      </tp>
      <tp>
        <v>7347.5</v>
        <stp/>
        <stp>T&amp;T0</stp>
        <stp>PRE</stp>
        <stp>470</stp>
        <tr r="B478" s="1"/>
      </tp>
      <tp>
        <v>7349.5</v>
        <stp/>
        <stp>T&amp;T1</stp>
        <stp>PRE</stp>
        <stp>471</stp>
        <tr r="H479" s="1"/>
      </tp>
      <tp>
        <v>7347</v>
        <stp/>
        <stp>T&amp;T0</stp>
        <stp>PRE</stp>
        <stp>473</stp>
        <tr r="B481" s="1"/>
      </tp>
      <tp>
        <v>7349.5</v>
        <stp/>
        <stp>T&amp;T1</stp>
        <stp>PRE</stp>
        <stp>472</stp>
        <tr r="H480" s="1"/>
      </tp>
      <tp>
        <v>7347.25</v>
        <stp/>
        <stp>T&amp;T0</stp>
        <stp>PRE</stp>
        <stp>472</stp>
        <tr r="B480" s="1"/>
      </tp>
      <tp>
        <v>7349.5</v>
        <stp/>
        <stp>T&amp;T1</stp>
        <stp>PRE</stp>
        <stp>473</stp>
        <tr r="H481" s="1"/>
      </tp>
      <tp>
        <v>7347.25</v>
        <stp/>
        <stp>T&amp;T0</stp>
        <stp>PRE</stp>
        <stp>475</stp>
        <tr r="B483" s="1"/>
      </tp>
      <tp>
        <v>7349.25</v>
        <stp/>
        <stp>T&amp;T1</stp>
        <stp>PRE</stp>
        <stp>474</stp>
        <tr r="H482" s="1"/>
      </tp>
      <tp>
        <v>7347</v>
        <stp/>
        <stp>T&amp;T0</stp>
        <stp>PRE</stp>
        <stp>474</stp>
        <tr r="B482" s="1"/>
      </tp>
      <tp>
        <v>7349.5</v>
        <stp/>
        <stp>T&amp;T1</stp>
        <stp>PRE</stp>
        <stp>475</stp>
        <tr r="H483" s="1"/>
      </tp>
      <tp>
        <v>7348</v>
        <stp/>
        <stp>T&amp;T0</stp>
        <stp>PRE</stp>
        <stp>477</stp>
        <tr r="B485" s="1"/>
      </tp>
      <tp>
        <v>7349.25</v>
        <stp/>
        <stp>T&amp;T1</stp>
        <stp>PRE</stp>
        <stp>476</stp>
        <tr r="H484" s="1"/>
      </tp>
      <tp>
        <v>7347.25</v>
        <stp/>
        <stp>T&amp;T0</stp>
        <stp>PRE</stp>
        <stp>476</stp>
        <tr r="B484" s="1"/>
      </tp>
      <tp>
        <v>7349.25</v>
        <stp/>
        <stp>T&amp;T1</stp>
        <stp>PRE</stp>
        <stp>477</stp>
        <tr r="H485" s="1"/>
      </tp>
      <tp>
        <v>7348.5</v>
        <stp/>
        <stp>T&amp;T0</stp>
        <stp>PRE</stp>
        <stp>479</stp>
        <tr r="B487" s="1"/>
      </tp>
      <tp>
        <v>7349</v>
        <stp/>
        <stp>T&amp;T1</stp>
        <stp>PRE</stp>
        <stp>478</stp>
        <tr r="H486" s="1"/>
      </tp>
      <tp>
        <v>7348</v>
        <stp/>
        <stp>T&amp;T0</stp>
        <stp>PRE</stp>
        <stp>478</stp>
        <tr r="B486" s="1"/>
      </tp>
      <tp>
        <v>7349.25</v>
        <stp/>
        <stp>T&amp;T1</stp>
        <stp>PRE</stp>
        <stp>479</stp>
        <tr r="H487" s="1"/>
      </tp>
      <tp>
        <v>7348</v>
        <stp/>
        <stp>T&amp;T0</stp>
        <stp>PRE</stp>
        <stp>441</stp>
        <tr r="B449" s="1"/>
      </tp>
      <tp>
        <v>7348.5</v>
        <stp/>
        <stp>T&amp;T1</stp>
        <stp>PRE</stp>
        <stp>440</stp>
        <tr r="H448" s="1"/>
      </tp>
      <tp>
        <v>7348</v>
        <stp/>
        <stp>T&amp;T0</stp>
        <stp>PRE</stp>
        <stp>440</stp>
        <tr r="B448" s="1"/>
      </tp>
      <tp>
        <v>7348.75</v>
        <stp/>
        <stp>T&amp;T1</stp>
        <stp>PRE</stp>
        <stp>441</stp>
        <tr r="H449" s="1"/>
      </tp>
      <tp>
        <v>7347.75</v>
        <stp/>
        <stp>T&amp;T0</stp>
        <stp>PRE</stp>
        <stp>443</stp>
        <tr r="B451" s="1"/>
      </tp>
      <tp>
        <v>7348.75</v>
        <stp/>
        <stp>T&amp;T1</stp>
        <stp>PRE</stp>
        <stp>442</stp>
        <tr r="H450" s="1"/>
      </tp>
      <tp>
        <v>7348</v>
        <stp/>
        <stp>T&amp;T0</stp>
        <stp>PRE</stp>
        <stp>442</stp>
        <tr r="B450" s="1"/>
      </tp>
      <tp>
        <v>7348.75</v>
        <stp/>
        <stp>T&amp;T1</stp>
        <stp>PRE</stp>
        <stp>443</stp>
        <tr r="H451" s="1"/>
      </tp>
      <tp>
        <v>7347.5</v>
        <stp/>
        <stp>T&amp;T0</stp>
        <stp>PRE</stp>
        <stp>445</stp>
        <tr r="B453" s="1"/>
      </tp>
      <tp>
        <v>7348.75</v>
        <stp/>
        <stp>T&amp;T1</stp>
        <stp>PRE</stp>
        <stp>444</stp>
        <tr r="H452" s="1"/>
      </tp>
      <tp>
        <v>7347.5</v>
        <stp/>
        <stp>T&amp;T0</stp>
        <stp>PRE</stp>
        <stp>444</stp>
        <tr r="B452" s="1"/>
      </tp>
      <tp>
        <v>7349</v>
        <stp/>
        <stp>T&amp;T1</stp>
        <stp>PRE</stp>
        <stp>445</stp>
        <tr r="H453" s="1"/>
      </tp>
      <tp>
        <v>7347.25</v>
        <stp/>
        <stp>T&amp;T0</stp>
        <stp>PRE</stp>
        <stp>447</stp>
        <tr r="B455" s="1"/>
      </tp>
      <tp>
        <v>7349</v>
        <stp/>
        <stp>T&amp;T1</stp>
        <stp>PRE</stp>
        <stp>446</stp>
        <tr r="H454" s="1"/>
      </tp>
      <tp>
        <v>7347.5</v>
        <stp/>
        <stp>T&amp;T0</stp>
        <stp>PRE</stp>
        <stp>446</stp>
        <tr r="B454" s="1"/>
      </tp>
      <tp>
        <v>7349</v>
        <stp/>
        <stp>T&amp;T1</stp>
        <stp>PRE</stp>
        <stp>447</stp>
        <tr r="H455" s="1"/>
      </tp>
      <tp>
        <v>7347.25</v>
        <stp/>
        <stp>T&amp;T0</stp>
        <stp>PRE</stp>
        <stp>449</stp>
        <tr r="B457" s="1"/>
      </tp>
      <tp>
        <v>7349</v>
        <stp/>
        <stp>T&amp;T1</stp>
        <stp>PRE</stp>
        <stp>448</stp>
        <tr r="H456" s="1"/>
      </tp>
      <tp>
        <v>7347.25</v>
        <stp/>
        <stp>T&amp;T0</stp>
        <stp>PRE</stp>
        <stp>448</stp>
        <tr r="B456" s="1"/>
      </tp>
      <tp>
        <v>7349</v>
        <stp/>
        <stp>T&amp;T1</stp>
        <stp>PRE</stp>
        <stp>449</stp>
        <tr r="H457" s="1"/>
      </tp>
      <tp>
        <v>7347.25</v>
        <stp/>
        <stp>T&amp;T0</stp>
        <stp>PRE</stp>
        <stp>451</stp>
        <tr r="B459" s="1"/>
      </tp>
      <tp>
        <v>7349.25</v>
        <stp/>
        <stp>T&amp;T1</stp>
        <stp>PRE</stp>
        <stp>450</stp>
        <tr r="H458" s="1"/>
      </tp>
      <tp>
        <v>7347.25</v>
        <stp/>
        <stp>T&amp;T0</stp>
        <stp>PRE</stp>
        <stp>450</stp>
        <tr r="B458" s="1"/>
      </tp>
      <tp>
        <v>7349.25</v>
        <stp/>
        <stp>T&amp;T1</stp>
        <stp>PRE</stp>
        <stp>451</stp>
        <tr r="H459" s="1"/>
      </tp>
      <tp>
        <v>7347</v>
        <stp/>
        <stp>T&amp;T0</stp>
        <stp>PRE</stp>
        <stp>453</stp>
        <tr r="B461" s="1"/>
      </tp>
      <tp>
        <v>7349.5</v>
        <stp/>
        <stp>T&amp;T1</stp>
        <stp>PRE</stp>
        <stp>452</stp>
        <tr r="H460" s="1"/>
      </tp>
      <tp>
        <v>7347.25</v>
        <stp/>
        <stp>T&amp;T0</stp>
        <stp>PRE</stp>
        <stp>452</stp>
        <tr r="B460" s="1"/>
      </tp>
      <tp>
        <v>7349.5</v>
        <stp/>
        <stp>T&amp;T1</stp>
        <stp>PRE</stp>
        <stp>453</stp>
        <tr r="H461" s="1"/>
      </tp>
      <tp>
        <v>7347</v>
        <stp/>
        <stp>T&amp;T0</stp>
        <stp>PRE</stp>
        <stp>455</stp>
        <tr r="B463" s="1"/>
      </tp>
      <tp>
        <v>7349.5</v>
        <stp/>
        <stp>T&amp;T1</stp>
        <stp>PRE</stp>
        <stp>454</stp>
        <tr r="H462" s="1"/>
      </tp>
      <tp>
        <v>7347</v>
        <stp/>
        <stp>T&amp;T0</stp>
        <stp>PRE</stp>
        <stp>454</stp>
        <tr r="B462" s="1"/>
      </tp>
      <tp>
        <v>7349.75</v>
        <stp/>
        <stp>T&amp;T1</stp>
        <stp>PRE</stp>
        <stp>455</stp>
        <tr r="H463" s="1"/>
      </tp>
      <tp>
        <v>7346.75</v>
        <stp/>
        <stp>T&amp;T0</stp>
        <stp>PRE</stp>
        <stp>457</stp>
        <tr r="B465" s="1"/>
      </tp>
      <tp>
        <v>7349.75</v>
        <stp/>
        <stp>T&amp;T1</stp>
        <stp>PRE</stp>
        <stp>456</stp>
        <tr r="H464" s="1"/>
      </tp>
      <tp>
        <v>7346.75</v>
        <stp/>
        <stp>T&amp;T0</stp>
        <stp>PRE</stp>
        <stp>456</stp>
        <tr r="B464" s="1"/>
      </tp>
      <tp>
        <v>7349.75</v>
        <stp/>
        <stp>T&amp;T1</stp>
        <stp>PRE</stp>
        <stp>457</stp>
        <tr r="H465" s="1"/>
      </tp>
      <tp>
        <v>7346.5</v>
        <stp/>
        <stp>T&amp;T0</stp>
        <stp>PRE</stp>
        <stp>459</stp>
        <tr r="B467" s="1"/>
      </tp>
      <tp>
        <v>7349.75</v>
        <stp/>
        <stp>T&amp;T1</stp>
        <stp>PRE</stp>
        <stp>458</stp>
        <tr r="H466" s="1"/>
      </tp>
      <tp>
        <v>7346.75</v>
        <stp/>
        <stp>T&amp;T0</stp>
        <stp>PRE</stp>
        <stp>458</stp>
        <tr r="B466" s="1"/>
      </tp>
      <tp>
        <v>7349.75</v>
        <stp/>
        <stp>T&amp;T1</stp>
        <stp>PRE</stp>
        <stp>459</stp>
        <tr r="H467" s="1"/>
      </tp>
      <tp>
        <v>7349</v>
        <stp/>
        <stp>T&amp;T0</stp>
        <stp>PRE</stp>
        <stp>421</stp>
        <tr r="B429" s="1"/>
      </tp>
      <tp>
        <v>7349</v>
        <stp/>
        <stp>T&amp;T1</stp>
        <stp>PRE</stp>
        <stp>420</stp>
        <tr r="H428" s="1"/>
      </tp>
      <tp>
        <v>7349</v>
        <stp/>
        <stp>T&amp;T0</stp>
        <stp>PRE</stp>
        <stp>420</stp>
        <tr r="B428" s="1"/>
      </tp>
      <tp>
        <v>7349.25</v>
        <stp/>
        <stp>T&amp;T1</stp>
        <stp>PRE</stp>
        <stp>421</stp>
        <tr r="H429" s="1"/>
      </tp>
      <tp>
        <v>7349.25</v>
        <stp/>
        <stp>T&amp;T0</stp>
        <stp>PRE</stp>
        <stp>423</stp>
        <tr r="B431" s="1"/>
      </tp>
      <tp>
        <v>7349.25</v>
        <stp/>
        <stp>T&amp;T1</stp>
        <stp>PRE</stp>
        <stp>422</stp>
        <tr r="H430" s="1"/>
      </tp>
      <tp>
        <v>7349.5</v>
        <stp/>
        <stp>T&amp;T0</stp>
        <stp>PRE</stp>
        <stp>422</stp>
        <tr r="B430" s="1"/>
      </tp>
      <tp>
        <v>7349.25</v>
        <stp/>
        <stp>T&amp;T1</stp>
        <stp>PRE</stp>
        <stp>423</stp>
        <tr r="H431" s="1"/>
      </tp>
      <tp>
        <v>7349</v>
        <stp/>
        <stp>T&amp;T0</stp>
        <stp>PRE</stp>
        <stp>425</stp>
        <tr r="B433" s="1"/>
      </tp>
      <tp>
        <v>7349.25</v>
        <stp/>
        <stp>T&amp;T1</stp>
        <stp>PRE</stp>
        <stp>424</stp>
        <tr r="H432" s="1"/>
      </tp>
      <tp>
        <v>7349.25</v>
        <stp/>
        <stp>T&amp;T0</stp>
        <stp>PRE</stp>
        <stp>424</stp>
        <tr r="B432" s="1"/>
      </tp>
      <tp>
        <v>7349.25</v>
        <stp/>
        <stp>T&amp;T1</stp>
        <stp>PRE</stp>
        <stp>425</stp>
        <tr r="H433" s="1"/>
      </tp>
      <tp>
        <v>7349</v>
        <stp/>
        <stp>T&amp;T0</stp>
        <stp>PRE</stp>
        <stp>427</stp>
        <tr r="B435" s="1"/>
      </tp>
      <tp>
        <v>7349.25</v>
        <stp/>
        <stp>T&amp;T1</stp>
        <stp>PRE</stp>
        <stp>426</stp>
        <tr r="H434" s="1"/>
      </tp>
      <tp>
        <v>7349</v>
        <stp/>
        <stp>T&amp;T0</stp>
        <stp>PRE</stp>
        <stp>426</stp>
        <tr r="B434" s="1"/>
      </tp>
      <tp>
        <v>7349.25</v>
        <stp/>
        <stp>T&amp;T1</stp>
        <stp>PRE</stp>
        <stp>427</stp>
        <tr r="H435" s="1"/>
      </tp>
      <tp>
        <v>7349</v>
        <stp/>
        <stp>T&amp;T0</stp>
        <stp>PRE</stp>
        <stp>429</stp>
        <tr r="B437" s="1"/>
      </tp>
      <tp>
        <v>7349.25</v>
        <stp/>
        <stp>T&amp;T1</stp>
        <stp>PRE</stp>
        <stp>428</stp>
        <tr r="H436" s="1"/>
      </tp>
      <tp>
        <v>7349</v>
        <stp/>
        <stp>T&amp;T0</stp>
        <stp>PRE</stp>
        <stp>428</stp>
        <tr r="B436" s="1"/>
      </tp>
      <tp>
        <v>7349.25</v>
        <stp/>
        <stp>T&amp;T1</stp>
        <stp>PRE</stp>
        <stp>429</stp>
        <tr r="H437" s="1"/>
      </tp>
      <tp>
        <v>7348.75</v>
        <stp/>
        <stp>T&amp;T0</stp>
        <stp>PRE</stp>
        <stp>431</stp>
        <tr r="B439" s="1"/>
      </tp>
      <tp>
        <v>7349.25</v>
        <stp/>
        <stp>T&amp;T1</stp>
        <stp>PRE</stp>
        <stp>430</stp>
        <tr r="H438" s="1"/>
      </tp>
      <tp>
        <v>7349</v>
        <stp/>
        <stp>T&amp;T0</stp>
        <stp>PRE</stp>
        <stp>430</stp>
        <tr r="B438" s="1"/>
      </tp>
      <tp>
        <v>7349.25</v>
        <stp/>
        <stp>T&amp;T1</stp>
        <stp>PRE</stp>
        <stp>431</stp>
        <tr r="H439" s="1"/>
      </tp>
      <tp>
        <v>7348.75</v>
        <stp/>
        <stp>T&amp;T0</stp>
        <stp>PRE</stp>
        <stp>433</stp>
        <tr r="B441" s="1"/>
      </tp>
      <tp>
        <v>7349.25</v>
        <stp/>
        <stp>T&amp;T1</stp>
        <stp>PRE</stp>
        <stp>432</stp>
        <tr r="H440" s="1"/>
      </tp>
      <tp>
        <v>7348.75</v>
        <stp/>
        <stp>T&amp;T0</stp>
        <stp>PRE</stp>
        <stp>432</stp>
        <tr r="B440" s="1"/>
      </tp>
      <tp>
        <v>7349</v>
        <stp/>
        <stp>T&amp;T1</stp>
        <stp>PRE</stp>
        <stp>433</stp>
        <tr r="H441" s="1"/>
      </tp>
      <tp>
        <v>7348.5</v>
        <stp/>
        <stp>T&amp;T0</stp>
        <stp>PRE</stp>
        <stp>435</stp>
        <tr r="B443" s="1"/>
      </tp>
      <tp>
        <v>7349</v>
        <stp/>
        <stp>T&amp;T1</stp>
        <stp>PRE</stp>
        <stp>434</stp>
        <tr r="H442" s="1"/>
      </tp>
      <tp>
        <v>7348.5</v>
        <stp/>
        <stp>T&amp;T0</stp>
        <stp>PRE</stp>
        <stp>434</stp>
        <tr r="B442" s="1"/>
      </tp>
      <tp>
        <v>7349</v>
        <stp/>
        <stp>T&amp;T1</stp>
        <stp>PRE</stp>
        <stp>435</stp>
        <tr r="H443" s="1"/>
      </tp>
      <tp>
        <v>7348.25</v>
        <stp/>
        <stp>T&amp;T0</stp>
        <stp>PRE</stp>
        <stp>437</stp>
        <tr r="B445" s="1"/>
      </tp>
      <tp>
        <v>7348.75</v>
        <stp/>
        <stp>T&amp;T1</stp>
        <stp>PRE</stp>
        <stp>436</stp>
        <tr r="H444" s="1"/>
      </tp>
      <tp>
        <v>7348.5</v>
        <stp/>
        <stp>T&amp;T0</stp>
        <stp>PRE</stp>
        <stp>436</stp>
        <tr r="B444" s="1"/>
      </tp>
      <tp>
        <v>7348.5</v>
        <stp/>
        <stp>T&amp;T1</stp>
        <stp>PRE</stp>
        <stp>437</stp>
        <tr r="H445" s="1"/>
      </tp>
      <tp>
        <v>7348</v>
        <stp/>
        <stp>T&amp;T0</stp>
        <stp>PRE</stp>
        <stp>439</stp>
        <tr r="B447" s="1"/>
      </tp>
      <tp>
        <v>7348.5</v>
        <stp/>
        <stp>T&amp;T1</stp>
        <stp>PRE</stp>
        <stp>438</stp>
        <tr r="H446" s="1"/>
      </tp>
      <tp>
        <v>7348</v>
        <stp/>
        <stp>T&amp;T0</stp>
        <stp>PRE</stp>
        <stp>438</stp>
        <tr r="B446" s="1"/>
      </tp>
      <tp>
        <v>7348.5</v>
        <stp/>
        <stp>T&amp;T1</stp>
        <stp>PRE</stp>
        <stp>439</stp>
        <tr r="H447" s="1"/>
      </tp>
      <tp>
        <v>7350</v>
        <stp/>
        <stp>T&amp;T0</stp>
        <stp>PRE</stp>
        <stp>401</stp>
        <tr r="B409" s="1"/>
      </tp>
      <tp>
        <v>7348.75</v>
        <stp/>
        <stp>T&amp;T1</stp>
        <stp>PRE</stp>
        <stp>400</stp>
        <tr r="H408" s="1"/>
      </tp>
      <tp>
        <v>7350</v>
        <stp/>
        <stp>T&amp;T0</stp>
        <stp>PRE</stp>
        <stp>400</stp>
        <tr r="B408" s="1"/>
      </tp>
      <tp>
        <v>7348.75</v>
        <stp/>
        <stp>T&amp;T1</stp>
        <stp>PRE</stp>
        <stp>401</stp>
        <tr r="H409" s="1"/>
      </tp>
      <tp>
        <v>7350</v>
        <stp/>
        <stp>T&amp;T0</stp>
        <stp>PRE</stp>
        <stp>403</stp>
        <tr r="B411" s="1"/>
      </tp>
      <tp>
        <v>7349</v>
        <stp/>
        <stp>T&amp;T1</stp>
        <stp>PRE</stp>
        <stp>402</stp>
        <tr r="H410" s="1"/>
      </tp>
      <tp>
        <v>7350</v>
        <stp/>
        <stp>T&amp;T0</stp>
        <stp>PRE</stp>
        <stp>402</stp>
        <tr r="B410" s="1"/>
      </tp>
      <tp>
        <v>7348.75</v>
        <stp/>
        <stp>T&amp;T1</stp>
        <stp>PRE</stp>
        <stp>403</stp>
        <tr r="H411" s="1"/>
      </tp>
      <tp>
        <v>7349.75</v>
        <stp/>
        <stp>T&amp;T0</stp>
        <stp>PRE</stp>
        <stp>405</stp>
        <tr r="B413" s="1"/>
      </tp>
      <tp>
        <v>7348.5</v>
        <stp/>
        <stp>T&amp;T1</stp>
        <stp>PRE</stp>
        <stp>404</stp>
        <tr r="H412" s="1"/>
      </tp>
      <tp>
        <v>7350</v>
        <stp/>
        <stp>T&amp;T0</stp>
        <stp>PRE</stp>
        <stp>404</stp>
        <tr r="B412" s="1"/>
      </tp>
      <tp>
        <v>7348.75</v>
        <stp/>
        <stp>T&amp;T1</stp>
        <stp>PRE</stp>
        <stp>405</stp>
        <tr r="H413" s="1"/>
      </tp>
      <tp>
        <v>7349.5</v>
        <stp/>
        <stp>T&amp;T0</stp>
        <stp>PRE</stp>
        <stp>407</stp>
        <tr r="B415" s="1"/>
      </tp>
      <tp>
        <v>7348.25</v>
        <stp/>
        <stp>T&amp;T1</stp>
        <stp>PRE</stp>
        <stp>406</stp>
        <tr r="H414" s="1"/>
      </tp>
      <tp>
        <v>7349.75</v>
        <stp/>
        <stp>T&amp;T0</stp>
        <stp>PRE</stp>
        <stp>406</stp>
        <tr r="B414" s="1"/>
      </tp>
      <tp>
        <v>7348.5</v>
        <stp/>
        <stp>T&amp;T1</stp>
        <stp>PRE</stp>
        <stp>407</stp>
        <tr r="H415" s="1"/>
      </tp>
      <tp>
        <v>7349.5</v>
        <stp/>
        <stp>T&amp;T0</stp>
        <stp>PRE</stp>
        <stp>409</stp>
        <tr r="B417" s="1"/>
      </tp>
      <tp>
        <v>7348.75</v>
        <stp/>
        <stp>T&amp;T1</stp>
        <stp>PRE</stp>
        <stp>408</stp>
        <tr r="H416" s="1"/>
      </tp>
      <tp>
        <v>7349.5</v>
        <stp/>
        <stp>T&amp;T0</stp>
        <stp>PRE</stp>
        <stp>408</stp>
        <tr r="B416" s="1"/>
      </tp>
      <tp>
        <v>7349</v>
        <stp/>
        <stp>T&amp;T1</stp>
        <stp>PRE</stp>
        <stp>409</stp>
        <tr r="H417" s="1"/>
      </tp>
      <tp>
        <v>7349.5</v>
        <stp/>
        <stp>T&amp;T0</stp>
        <stp>PRE</stp>
        <stp>411</stp>
        <tr r="B419" s="1"/>
      </tp>
      <tp>
        <v>7349</v>
        <stp/>
        <stp>T&amp;T1</stp>
        <stp>PRE</stp>
        <stp>410</stp>
        <tr r="H418" s="1"/>
      </tp>
      <tp>
        <v>7349.25</v>
        <stp/>
        <stp>T&amp;T0</stp>
        <stp>PRE</stp>
        <stp>410</stp>
        <tr r="B418" s="1"/>
      </tp>
      <tp>
        <v>7349</v>
        <stp/>
        <stp>T&amp;T1</stp>
        <stp>PRE</stp>
        <stp>411</stp>
        <tr r="H419" s="1"/>
      </tp>
      <tp>
        <v>7349.5</v>
        <stp/>
        <stp>T&amp;T0</stp>
        <stp>PRE</stp>
        <stp>413</stp>
        <tr r="B421" s="1"/>
      </tp>
      <tp>
        <v>7349.25</v>
        <stp/>
        <stp>T&amp;T1</stp>
        <stp>PRE</stp>
        <stp>412</stp>
        <tr r="H420" s="1"/>
      </tp>
      <tp>
        <v>7349.25</v>
        <stp/>
        <stp>T&amp;T0</stp>
        <stp>PRE</stp>
        <stp>412</stp>
        <tr r="B420" s="1"/>
      </tp>
      <tp>
        <v>7349.25</v>
        <stp/>
        <stp>T&amp;T1</stp>
        <stp>PRE</stp>
        <stp>413</stp>
        <tr r="H421" s="1"/>
      </tp>
      <tp>
        <v>7349.5</v>
        <stp/>
        <stp>T&amp;T0</stp>
        <stp>PRE</stp>
        <stp>415</stp>
        <tr r="B423" s="1"/>
      </tp>
      <tp>
        <v>7349.25</v>
        <stp/>
        <stp>T&amp;T1</stp>
        <stp>PRE</stp>
        <stp>414</stp>
        <tr r="H422" s="1"/>
      </tp>
      <tp>
        <v>7349.5</v>
        <stp/>
        <stp>T&amp;T0</stp>
        <stp>PRE</stp>
        <stp>414</stp>
        <tr r="B422" s="1"/>
      </tp>
      <tp>
        <v>7349</v>
        <stp/>
        <stp>T&amp;T1</stp>
        <stp>PRE</stp>
        <stp>415</stp>
        <tr r="H423" s="1"/>
      </tp>
      <tp>
        <v>7349.5</v>
        <stp/>
        <stp>T&amp;T0</stp>
        <stp>PRE</stp>
        <stp>417</stp>
        <tr r="B425" s="1"/>
      </tp>
      <tp>
        <v>7349</v>
        <stp/>
        <stp>T&amp;T1</stp>
        <stp>PRE</stp>
        <stp>416</stp>
        <tr r="H424" s="1"/>
      </tp>
      <tp>
        <v>7349.5</v>
        <stp/>
        <stp>T&amp;T0</stp>
        <stp>PRE</stp>
        <stp>416</stp>
        <tr r="B424" s="1"/>
      </tp>
      <tp>
        <v>7349.25</v>
        <stp/>
        <stp>T&amp;T1</stp>
        <stp>PRE</stp>
        <stp>417</stp>
        <tr r="H425" s="1"/>
      </tp>
      <tp>
        <v>7349</v>
        <stp/>
        <stp>T&amp;T0</stp>
        <stp>PRE</stp>
        <stp>419</stp>
        <tr r="B427" s="1"/>
      </tp>
      <tp>
        <v>7348.75</v>
        <stp/>
        <stp>T&amp;T1</stp>
        <stp>PRE</stp>
        <stp>418</stp>
        <tr r="H426" s="1"/>
      </tp>
      <tp>
        <v>7349</v>
        <stp/>
        <stp>T&amp;T0</stp>
        <stp>PRE</stp>
        <stp>418</stp>
        <tr r="B426" s="1"/>
      </tp>
      <tp>
        <v>7349</v>
        <stp/>
        <stp>T&amp;T1</stp>
        <stp>PRE</stp>
        <stp>419</stp>
        <tr r="H427" s="1"/>
      </tp>
      <tp>
        <v>1</v>
        <stp/>
        <stp>T&amp;T0</stp>
        <stp>QUL</stp>
        <stp>498</stp>
        <tr r="C506" s="1"/>
      </tp>
      <tp>
        <v>1</v>
        <stp/>
        <stp>T&amp;T1</stp>
        <stp>QUL</stp>
        <stp>499</stp>
        <tr r="I507" s="1"/>
      </tp>
      <tp>
        <v>1</v>
        <stp/>
        <stp>T&amp;T0</stp>
        <stp>QUL</stp>
        <stp>499</stp>
        <tr r="C507" s="1"/>
      </tp>
      <tp>
        <v>1</v>
        <stp/>
        <stp>T&amp;T1</stp>
        <stp>QUL</stp>
        <stp>498</stp>
        <tr r="I506" s="1"/>
      </tp>
      <tp>
        <v>1</v>
        <stp/>
        <stp>T&amp;T0</stp>
        <stp>QUL</stp>
        <stp>490</stp>
        <tr r="C498" s="1"/>
      </tp>
      <tp>
        <v>8</v>
        <stp/>
        <stp>T&amp;T1</stp>
        <stp>QUL</stp>
        <stp>491</stp>
        <tr r="I499" s="1"/>
      </tp>
      <tp>
        <v>1</v>
        <stp/>
        <stp>T&amp;T0</stp>
        <stp>QUL</stp>
        <stp>491</stp>
        <tr r="C499" s="1"/>
      </tp>
      <tp>
        <v>1</v>
        <stp/>
        <stp>T&amp;T1</stp>
        <stp>QUL</stp>
        <stp>490</stp>
        <tr r="I498" s="1"/>
      </tp>
      <tp>
        <v>5</v>
        <stp/>
        <stp>T&amp;T0</stp>
        <stp>QUL</stp>
        <stp>492</stp>
        <tr r="C500" s="1"/>
      </tp>
      <tp>
        <v>1</v>
        <stp/>
        <stp>T&amp;T1</stp>
        <stp>QUL</stp>
        <stp>493</stp>
        <tr r="I501" s="1"/>
      </tp>
      <tp>
        <v>1</v>
        <stp/>
        <stp>T&amp;T0</stp>
        <stp>QUL</stp>
        <stp>493</stp>
        <tr r="C501" s="1"/>
      </tp>
      <tp>
        <v>1</v>
        <stp/>
        <stp>T&amp;T1</stp>
        <stp>QUL</stp>
        <stp>492</stp>
        <tr r="I500" s="1"/>
      </tp>
      <tp>
        <v>1</v>
        <stp/>
        <stp>T&amp;T0</stp>
        <stp>QUL</stp>
        <stp>494</stp>
        <tr r="C502" s="1"/>
      </tp>
      <tp>
        <v>6</v>
        <stp/>
        <stp>T&amp;T1</stp>
        <stp>QUL</stp>
        <stp>495</stp>
        <tr r="I503" s="1"/>
      </tp>
      <tp>
        <v>1</v>
        <stp/>
        <stp>T&amp;T0</stp>
        <stp>QUL</stp>
        <stp>495</stp>
        <tr r="C503" s="1"/>
      </tp>
      <tp>
        <v>1</v>
        <stp/>
        <stp>T&amp;T1</stp>
        <stp>QUL</stp>
        <stp>494</stp>
        <tr r="I502" s="1"/>
      </tp>
      <tp>
        <v>1</v>
        <stp/>
        <stp>T&amp;T0</stp>
        <stp>QUL</stp>
        <stp>496</stp>
        <tr r="C504" s="1"/>
      </tp>
      <tp>
        <v>6</v>
        <stp/>
        <stp>T&amp;T1</stp>
        <stp>QUL</stp>
        <stp>497</stp>
        <tr r="I505" s="1"/>
      </tp>
      <tp>
        <v>1</v>
        <stp/>
        <stp>T&amp;T0</stp>
        <stp>QUL</stp>
        <stp>497</stp>
        <tr r="C505" s="1"/>
      </tp>
      <tp>
        <v>1</v>
        <stp/>
        <stp>T&amp;T1</stp>
        <stp>QUL</stp>
        <stp>496</stp>
        <tr r="I504" s="1"/>
      </tp>
      <tp>
        <v>2</v>
        <stp/>
        <stp>T&amp;T0</stp>
        <stp>QUL</stp>
        <stp>488</stp>
        <tr r="C496" s="1"/>
      </tp>
      <tp>
        <v>1</v>
        <stp/>
        <stp>T&amp;T1</stp>
        <stp>QUL</stp>
        <stp>489</stp>
        <tr r="I497" s="1"/>
      </tp>
      <tp>
        <v>1</v>
        <stp/>
        <stp>T&amp;T0</stp>
        <stp>QUL</stp>
        <stp>489</stp>
        <tr r="C497" s="1"/>
      </tp>
      <tp>
        <v>1</v>
        <stp/>
        <stp>T&amp;T1</stp>
        <stp>QUL</stp>
        <stp>488</stp>
        <tr r="I496" s="1"/>
      </tp>
      <tp>
        <v>1</v>
        <stp/>
        <stp>T&amp;T0</stp>
        <stp>QUL</stp>
        <stp>480</stp>
        <tr r="C488" s="1"/>
      </tp>
      <tp>
        <v>1</v>
        <stp/>
        <stp>T&amp;T1</stp>
        <stp>QUL</stp>
        <stp>481</stp>
        <tr r="I489" s="1"/>
      </tp>
      <tp>
        <v>2</v>
        <stp/>
        <stp>T&amp;T0</stp>
        <stp>QUL</stp>
        <stp>481</stp>
        <tr r="C489" s="1"/>
      </tp>
      <tp>
        <v>1</v>
        <stp/>
        <stp>T&amp;T1</stp>
        <stp>QUL</stp>
        <stp>480</stp>
        <tr r="I488" s="1"/>
      </tp>
      <tp>
        <v>1</v>
        <stp/>
        <stp>T&amp;T0</stp>
        <stp>QUL</stp>
        <stp>482</stp>
        <tr r="C490" s="1"/>
      </tp>
      <tp>
        <v>1</v>
        <stp/>
        <stp>T&amp;T1</stp>
        <stp>QUL</stp>
        <stp>483</stp>
        <tr r="I491" s="1"/>
      </tp>
      <tp>
        <v>3</v>
        <stp/>
        <stp>T&amp;T0</stp>
        <stp>QUL</stp>
        <stp>483</stp>
        <tr r="C491" s="1"/>
      </tp>
      <tp>
        <v>1</v>
        <stp/>
        <stp>T&amp;T1</stp>
        <stp>QUL</stp>
        <stp>482</stp>
        <tr r="I490" s="1"/>
      </tp>
      <tp>
        <v>1</v>
        <stp/>
        <stp>T&amp;T0</stp>
        <stp>QUL</stp>
        <stp>484</stp>
        <tr r="C492" s="1"/>
      </tp>
      <tp>
        <v>2</v>
        <stp/>
        <stp>T&amp;T1</stp>
        <stp>QUL</stp>
        <stp>485</stp>
        <tr r="I493" s="1"/>
      </tp>
      <tp>
        <v>2</v>
        <stp/>
        <stp>T&amp;T0</stp>
        <stp>QUL</stp>
        <stp>485</stp>
        <tr r="C493" s="1"/>
      </tp>
      <tp>
        <v>1</v>
        <stp/>
        <stp>T&amp;T1</stp>
        <stp>QUL</stp>
        <stp>484</stp>
        <tr r="I492" s="1"/>
      </tp>
      <tp>
        <v>25</v>
        <stp/>
        <stp>T&amp;T0</stp>
        <stp>QUL</stp>
        <stp>486</stp>
        <tr r="C494" s="1"/>
      </tp>
      <tp>
        <v>1</v>
        <stp/>
        <stp>T&amp;T1</stp>
        <stp>QUL</stp>
        <stp>487</stp>
        <tr r="I495" s="1"/>
      </tp>
      <tp>
        <v>2</v>
        <stp/>
        <stp>T&amp;T0</stp>
        <stp>QUL</stp>
        <stp>487</stp>
        <tr r="C495" s="1"/>
      </tp>
      <tp>
        <v>1</v>
        <stp/>
        <stp>T&amp;T1</stp>
        <stp>QUL</stp>
        <stp>486</stp>
        <tr r="I494" s="1"/>
      </tp>
      <tp>
        <v>10</v>
        <stp/>
        <stp>T&amp;T0</stp>
        <stp>QUL</stp>
        <stp>418</stp>
        <tr r="C426" s="1"/>
      </tp>
      <tp>
        <v>13</v>
        <stp/>
        <stp>T&amp;T1</stp>
        <stp>QUL</stp>
        <stp>419</stp>
        <tr r="I427" s="1"/>
      </tp>
      <tp>
        <v>1</v>
        <stp/>
        <stp>T&amp;T0</stp>
        <stp>QUL</stp>
        <stp>419</stp>
        <tr r="C427" s="1"/>
      </tp>
      <tp>
        <v>2</v>
        <stp/>
        <stp>T&amp;T1</stp>
        <stp>QUL</stp>
        <stp>418</stp>
        <tr r="I426" s="1"/>
      </tp>
      <tp>
        <v>1</v>
        <stp/>
        <stp>T&amp;T0</stp>
        <stp>QUL</stp>
        <stp>410</stp>
        <tr r="C418" s="1"/>
      </tp>
      <tp>
        <v>1</v>
        <stp/>
        <stp>T&amp;T1</stp>
        <stp>QUL</stp>
        <stp>411</stp>
        <tr r="I419" s="1"/>
      </tp>
      <tp>
        <v>1</v>
        <stp/>
        <stp>T&amp;T0</stp>
        <stp>QUL</stp>
        <stp>411</stp>
        <tr r="C419" s="1"/>
      </tp>
      <tp>
        <v>3</v>
        <stp/>
        <stp>T&amp;T1</stp>
        <stp>QUL</stp>
        <stp>410</stp>
        <tr r="I418" s="1"/>
      </tp>
      <tp>
        <v>1</v>
        <stp/>
        <stp>T&amp;T0</stp>
        <stp>QUL</stp>
        <stp>412</stp>
        <tr r="C420" s="1"/>
      </tp>
      <tp>
        <v>2</v>
        <stp/>
        <stp>T&amp;T1</stp>
        <stp>QUL</stp>
        <stp>413</stp>
        <tr r="I421" s="1"/>
      </tp>
      <tp>
        <v>1</v>
        <stp/>
        <stp>T&amp;T0</stp>
        <stp>QUL</stp>
        <stp>413</stp>
        <tr r="C421" s="1"/>
      </tp>
      <tp>
        <v>1</v>
        <stp/>
        <stp>T&amp;T1</stp>
        <stp>QUL</stp>
        <stp>412</stp>
        <tr r="I420" s="1"/>
      </tp>
      <tp>
        <v>1</v>
        <stp/>
        <stp>T&amp;T0</stp>
        <stp>QUL</stp>
        <stp>414</stp>
        <tr r="C422" s="1"/>
      </tp>
      <tp>
        <v>1</v>
        <stp/>
        <stp>T&amp;T1</stp>
        <stp>QUL</stp>
        <stp>415</stp>
        <tr r="I423" s="1"/>
      </tp>
      <tp>
        <v>3</v>
        <stp/>
        <stp>T&amp;T0</stp>
        <stp>QUL</stp>
        <stp>415</stp>
        <tr r="C423" s="1"/>
      </tp>
      <tp>
        <v>1</v>
        <stp/>
        <stp>T&amp;T1</stp>
        <stp>QUL</stp>
        <stp>414</stp>
        <tr r="I422" s="1"/>
      </tp>
      <tp>
        <v>1</v>
        <stp/>
        <stp>T&amp;T0</stp>
        <stp>QUL</stp>
        <stp>416</stp>
        <tr r="C424" s="1"/>
      </tp>
      <tp>
        <v>1</v>
        <stp/>
        <stp>T&amp;T1</stp>
        <stp>QUL</stp>
        <stp>417</stp>
        <tr r="I425" s="1"/>
      </tp>
      <tp>
        <v>3</v>
        <stp/>
        <stp>T&amp;T0</stp>
        <stp>QUL</stp>
        <stp>417</stp>
        <tr r="C425" s="1"/>
      </tp>
      <tp>
        <v>1</v>
        <stp/>
        <stp>T&amp;T1</stp>
        <stp>QUL</stp>
        <stp>416</stp>
        <tr r="I424" s="1"/>
      </tp>
      <tp>
        <v>1</v>
        <stp/>
        <stp>T&amp;T0</stp>
        <stp>QUL</stp>
        <stp>408</stp>
        <tr r="C416" s="1"/>
      </tp>
      <tp>
        <v>1</v>
        <stp/>
        <stp>T&amp;T1</stp>
        <stp>QUL</stp>
        <stp>409</stp>
        <tr r="I417" s="1"/>
      </tp>
      <tp>
        <v>3</v>
        <stp/>
        <stp>T&amp;T0</stp>
        <stp>QUL</stp>
        <stp>409</stp>
        <tr r="C417" s="1"/>
      </tp>
      <tp>
        <v>4</v>
        <stp/>
        <stp>T&amp;T1</stp>
        <stp>QUL</stp>
        <stp>408</stp>
        <tr r="I416" s="1"/>
      </tp>
      <tp>
        <v>5</v>
        <stp/>
        <stp>T&amp;T0</stp>
        <stp>QUL</stp>
        <stp>400</stp>
        <tr r="C408" s="1"/>
      </tp>
      <tp>
        <v>2</v>
        <stp/>
        <stp>T&amp;T1</stp>
        <stp>QUL</stp>
        <stp>401</stp>
        <tr r="I409" s="1"/>
      </tp>
      <tp>
        <v>2</v>
        <stp/>
        <stp>T&amp;T0</stp>
        <stp>QUL</stp>
        <stp>401</stp>
        <tr r="C409" s="1"/>
      </tp>
      <tp>
        <v>1</v>
        <stp/>
        <stp>T&amp;T1</stp>
        <stp>QUL</stp>
        <stp>400</stp>
        <tr r="I408" s="1"/>
      </tp>
      <tp>
        <v>1</v>
        <stp/>
        <stp>T&amp;T0</stp>
        <stp>QUL</stp>
        <stp>402</stp>
        <tr r="C410" s="1"/>
      </tp>
      <tp>
        <v>1</v>
        <stp/>
        <stp>T&amp;T1</stp>
        <stp>QUL</stp>
        <stp>403</stp>
        <tr r="I411" s="1"/>
      </tp>
      <tp>
        <v>8</v>
        <stp/>
        <stp>T&amp;T0</stp>
        <stp>QUL</stp>
        <stp>403</stp>
        <tr r="C411" s="1"/>
      </tp>
      <tp>
        <v>1</v>
        <stp/>
        <stp>T&amp;T1</stp>
        <stp>QUL</stp>
        <stp>402</stp>
        <tr r="I410" s="1"/>
      </tp>
      <tp>
        <v>5</v>
        <stp/>
        <stp>T&amp;T0</stp>
        <stp>QUL</stp>
        <stp>404</stp>
        <tr r="C412" s="1"/>
      </tp>
      <tp>
        <v>1</v>
        <stp/>
        <stp>T&amp;T1</stp>
        <stp>QUL</stp>
        <stp>405</stp>
        <tr r="I413" s="1"/>
      </tp>
      <tp>
        <v>3</v>
        <stp/>
        <stp>T&amp;T0</stp>
        <stp>QUL</stp>
        <stp>405</stp>
        <tr r="C413" s="1"/>
      </tp>
      <tp>
        <v>1</v>
        <stp/>
        <stp>T&amp;T1</stp>
        <stp>QUL</stp>
        <stp>404</stp>
        <tr r="I412" s="1"/>
      </tp>
      <tp>
        <v>3</v>
        <stp/>
        <stp>T&amp;T0</stp>
        <stp>QUL</stp>
        <stp>406</stp>
        <tr r="C414" s="1"/>
      </tp>
      <tp>
        <v>4</v>
        <stp/>
        <stp>T&amp;T1</stp>
        <stp>QUL</stp>
        <stp>407</stp>
        <tr r="I415" s="1"/>
      </tp>
      <tp>
        <v>1</v>
        <stp/>
        <stp>T&amp;T0</stp>
        <stp>QUL</stp>
        <stp>407</stp>
        <tr r="C415" s="1"/>
      </tp>
      <tp>
        <v>2</v>
        <stp/>
        <stp>T&amp;T1</stp>
        <stp>QUL</stp>
        <stp>406</stp>
        <tr r="I414" s="1"/>
      </tp>
      <tp>
        <v>18</v>
        <stp/>
        <stp>T&amp;T0</stp>
        <stp>QUL</stp>
        <stp>438</stp>
        <tr r="C446" s="1"/>
      </tp>
      <tp>
        <v>1</v>
        <stp/>
        <stp>T&amp;T1</stp>
        <stp>QUL</stp>
        <stp>439</stp>
        <tr r="I447" s="1"/>
      </tp>
      <tp>
        <v>2</v>
        <stp/>
        <stp>T&amp;T0</stp>
        <stp>QUL</stp>
        <stp>439</stp>
        <tr r="C447" s="1"/>
      </tp>
      <tp>
        <v>1</v>
        <stp/>
        <stp>T&amp;T1</stp>
        <stp>QUL</stp>
        <stp>438</stp>
        <tr r="I446" s="1"/>
      </tp>
      <tp>
        <v>1</v>
        <stp/>
        <stp>T&amp;T0</stp>
        <stp>QUL</stp>
        <stp>430</stp>
        <tr r="C438" s="1"/>
      </tp>
      <tp>
        <v>1</v>
        <stp/>
        <stp>T&amp;T1</stp>
        <stp>QUL</stp>
        <stp>431</stp>
        <tr r="I439" s="1"/>
      </tp>
      <tp>
        <v>5</v>
        <stp/>
        <stp>T&amp;T0</stp>
        <stp>QUL</stp>
        <stp>431</stp>
        <tr r="C439" s="1"/>
      </tp>
      <tp>
        <v>2</v>
        <stp/>
        <stp>T&amp;T1</stp>
        <stp>QUL</stp>
        <stp>430</stp>
        <tr r="I438" s="1"/>
      </tp>
      <tp>
        <v>1</v>
        <stp/>
        <stp>T&amp;T0</stp>
        <stp>QUL</stp>
        <stp>432</stp>
        <tr r="C440" s="1"/>
      </tp>
      <tp>
        <v>1</v>
        <stp/>
        <stp>T&amp;T1</stp>
        <stp>QUL</stp>
        <stp>433</stp>
        <tr r="I441" s="1"/>
      </tp>
      <tp>
        <v>1</v>
        <stp/>
        <stp>T&amp;T0</stp>
        <stp>QUL</stp>
        <stp>433</stp>
        <tr r="C441" s="1"/>
      </tp>
      <tp>
        <v>1</v>
        <stp/>
        <stp>T&amp;T1</stp>
        <stp>QUL</stp>
        <stp>432</stp>
        <tr r="I440" s="1"/>
      </tp>
      <tp>
        <v>2</v>
        <stp/>
        <stp>T&amp;T0</stp>
        <stp>QUL</stp>
        <stp>434</stp>
        <tr r="C442" s="1"/>
      </tp>
      <tp>
        <v>9</v>
        <stp/>
        <stp>T&amp;T1</stp>
        <stp>QUL</stp>
        <stp>435</stp>
        <tr r="I443" s="1"/>
      </tp>
      <tp>
        <v>3</v>
        <stp/>
        <stp>T&amp;T0</stp>
        <stp>QUL</stp>
        <stp>435</stp>
        <tr r="C443" s="1"/>
      </tp>
      <tp>
        <v>1</v>
        <stp/>
        <stp>T&amp;T1</stp>
        <stp>QUL</stp>
        <stp>434</stp>
        <tr r="I442" s="1"/>
      </tp>
      <tp>
        <v>3</v>
        <stp/>
        <stp>T&amp;T0</stp>
        <stp>QUL</stp>
        <stp>436</stp>
        <tr r="C444" s="1"/>
      </tp>
      <tp>
        <v>5</v>
        <stp/>
        <stp>T&amp;T1</stp>
        <stp>QUL</stp>
        <stp>437</stp>
        <tr r="I445" s="1"/>
      </tp>
      <tp>
        <v>1</v>
        <stp/>
        <stp>T&amp;T0</stp>
        <stp>QUL</stp>
        <stp>437</stp>
        <tr r="C445" s="1"/>
      </tp>
      <tp>
        <v>1</v>
        <stp/>
        <stp>T&amp;T1</stp>
        <stp>QUL</stp>
        <stp>436</stp>
        <tr r="I444" s="1"/>
      </tp>
      <tp>
        <v>3</v>
        <stp/>
        <stp>T&amp;T0</stp>
        <stp>QUL</stp>
        <stp>428</stp>
        <tr r="C436" s="1"/>
      </tp>
      <tp>
        <v>5</v>
        <stp/>
        <stp>T&amp;T1</stp>
        <stp>QUL</stp>
        <stp>429</stp>
        <tr r="I437" s="1"/>
      </tp>
      <tp>
        <v>1</v>
        <stp/>
        <stp>T&amp;T0</stp>
        <stp>QUL</stp>
        <stp>429</stp>
        <tr r="C437" s="1"/>
      </tp>
      <tp>
        <v>1</v>
        <stp/>
        <stp>T&amp;T1</stp>
        <stp>QUL</stp>
        <stp>428</stp>
        <tr r="I436" s="1"/>
      </tp>
      <tp>
        <v>1</v>
        <stp/>
        <stp>T&amp;T0</stp>
        <stp>QUL</stp>
        <stp>420</stp>
        <tr r="C428" s="1"/>
      </tp>
      <tp>
        <v>3</v>
        <stp/>
        <stp>T&amp;T1</stp>
        <stp>QUL</stp>
        <stp>421</stp>
        <tr r="I429" s="1"/>
      </tp>
      <tp>
        <v>1</v>
        <stp/>
        <stp>T&amp;T0</stp>
        <stp>QUL</stp>
        <stp>421</stp>
        <tr r="C429" s="1"/>
      </tp>
      <tp>
        <v>1</v>
        <stp/>
        <stp>T&amp;T1</stp>
        <stp>QUL</stp>
        <stp>420</stp>
        <tr r="I428" s="1"/>
      </tp>
      <tp>
        <v>2</v>
        <stp/>
        <stp>T&amp;T0</stp>
        <stp>QUL</stp>
        <stp>422</stp>
        <tr r="C430" s="1"/>
      </tp>
      <tp>
        <v>1</v>
        <stp/>
        <stp>T&amp;T1</stp>
        <stp>QUL</stp>
        <stp>423</stp>
        <tr r="I431" s="1"/>
      </tp>
      <tp>
        <v>1</v>
        <stp/>
        <stp>T&amp;T0</stp>
        <stp>QUL</stp>
        <stp>423</stp>
        <tr r="C431" s="1"/>
      </tp>
      <tp>
        <v>1</v>
        <stp/>
        <stp>T&amp;T1</stp>
        <stp>QUL</stp>
        <stp>422</stp>
        <tr r="I430" s="1"/>
      </tp>
      <tp>
        <v>2</v>
        <stp/>
        <stp>T&amp;T0</stp>
        <stp>QUL</stp>
        <stp>424</stp>
        <tr r="C432" s="1"/>
      </tp>
      <tp>
        <v>1</v>
        <stp/>
        <stp>T&amp;T1</stp>
        <stp>QUL</stp>
        <stp>425</stp>
        <tr r="I433" s="1"/>
      </tp>
      <tp>
        <v>1</v>
        <stp/>
        <stp>T&amp;T0</stp>
        <stp>QUL</stp>
        <stp>425</stp>
        <tr r="C433" s="1"/>
      </tp>
      <tp>
        <v>5</v>
        <stp/>
        <stp>T&amp;T1</stp>
        <stp>QUL</stp>
        <stp>424</stp>
        <tr r="I432" s="1"/>
      </tp>
      <tp>
        <v>1</v>
        <stp/>
        <stp>T&amp;T0</stp>
        <stp>QUL</stp>
        <stp>426</stp>
        <tr r="C434" s="1"/>
      </tp>
      <tp>
        <v>3</v>
        <stp/>
        <stp>T&amp;T1</stp>
        <stp>QUL</stp>
        <stp>427</stp>
        <tr r="I435" s="1"/>
      </tp>
      <tp>
        <v>1</v>
        <stp/>
        <stp>T&amp;T0</stp>
        <stp>QUL</stp>
        <stp>427</stp>
        <tr r="C435" s="1"/>
      </tp>
      <tp>
        <v>2</v>
        <stp/>
        <stp>T&amp;T1</stp>
        <stp>QUL</stp>
        <stp>426</stp>
        <tr r="I434" s="1"/>
      </tp>
      <tp>
        <v>3</v>
        <stp/>
        <stp>T&amp;T0</stp>
        <stp>QUL</stp>
        <stp>458</stp>
        <tr r="C466" s="1"/>
      </tp>
      <tp>
        <v>1</v>
        <stp/>
        <stp>T&amp;T1</stp>
        <stp>QUL</stp>
        <stp>459</stp>
        <tr r="I467" s="1"/>
      </tp>
      <tp>
        <v>1</v>
        <stp/>
        <stp>T&amp;T0</stp>
        <stp>QUL</stp>
        <stp>459</stp>
        <tr r="C467" s="1"/>
      </tp>
      <tp>
        <v>1</v>
        <stp/>
        <stp>T&amp;T1</stp>
        <stp>QUL</stp>
        <stp>458</stp>
        <tr r="I466" s="1"/>
      </tp>
      <tp>
        <v>3</v>
        <stp/>
        <stp>T&amp;T0</stp>
        <stp>QUL</stp>
        <stp>450</stp>
        <tr r="C458" s="1"/>
      </tp>
      <tp>
        <v>6</v>
        <stp/>
        <stp>T&amp;T1</stp>
        <stp>QUL</stp>
        <stp>451</stp>
        <tr r="I459" s="1"/>
      </tp>
      <tp>
        <v>1</v>
        <stp/>
        <stp>T&amp;T0</stp>
        <stp>QUL</stp>
        <stp>451</stp>
        <tr r="C459" s="1"/>
      </tp>
      <tp>
        <v>1</v>
        <stp/>
        <stp>T&amp;T1</stp>
        <stp>QUL</stp>
        <stp>450</stp>
        <tr r="I458" s="1"/>
      </tp>
      <tp>
        <v>4</v>
        <stp/>
        <stp>T&amp;T0</stp>
        <stp>QUL</stp>
        <stp>452</stp>
        <tr r="C460" s="1"/>
      </tp>
      <tp>
        <v>1</v>
        <stp/>
        <stp>T&amp;T1</stp>
        <stp>QUL</stp>
        <stp>453</stp>
        <tr r="I461" s="1"/>
      </tp>
      <tp>
        <v>14</v>
        <stp/>
        <stp>T&amp;T0</stp>
        <stp>QUL</stp>
        <stp>453</stp>
        <tr r="C461" s="1"/>
      </tp>
      <tp>
        <v>3</v>
        <stp/>
        <stp>T&amp;T1</stp>
        <stp>QUL</stp>
        <stp>452</stp>
        <tr r="I460" s="1"/>
      </tp>
      <tp>
        <v>1</v>
        <stp/>
        <stp>T&amp;T0</stp>
        <stp>QUL</stp>
        <stp>454</stp>
        <tr r="C462" s="1"/>
      </tp>
      <tp>
        <v>4</v>
        <stp/>
        <stp>T&amp;T1</stp>
        <stp>QUL</stp>
        <stp>455</stp>
        <tr r="I463" s="1"/>
      </tp>
      <tp>
        <v>1</v>
        <stp/>
        <stp>T&amp;T0</stp>
        <stp>QUL</stp>
        <stp>455</stp>
        <tr r="C463" s="1"/>
      </tp>
      <tp>
        <v>1</v>
        <stp/>
        <stp>T&amp;T1</stp>
        <stp>QUL</stp>
        <stp>454</stp>
        <tr r="I462" s="1"/>
      </tp>
      <tp>
        <v>1</v>
        <stp/>
        <stp>T&amp;T0</stp>
        <stp>QUL</stp>
        <stp>456</stp>
        <tr r="C464" s="1"/>
      </tp>
      <tp>
        <v>1</v>
        <stp/>
        <stp>T&amp;T1</stp>
        <stp>QUL</stp>
        <stp>457</stp>
        <tr r="I465" s="1"/>
      </tp>
      <tp>
        <v>1</v>
        <stp/>
        <stp>T&amp;T0</stp>
        <stp>QUL</stp>
        <stp>457</stp>
        <tr r="C465" s="1"/>
      </tp>
      <tp>
        <v>1</v>
        <stp/>
        <stp>T&amp;T1</stp>
        <stp>QUL</stp>
        <stp>456</stp>
        <tr r="I464" s="1"/>
      </tp>
      <tp>
        <v>1</v>
        <stp/>
        <stp>T&amp;T0</stp>
        <stp>QUL</stp>
        <stp>448</stp>
        <tr r="C456" s="1"/>
      </tp>
      <tp>
        <v>1</v>
        <stp/>
        <stp>T&amp;T1</stp>
        <stp>QUL</stp>
        <stp>449</stp>
        <tr r="I457" s="1"/>
      </tp>
      <tp>
        <v>1</v>
        <stp/>
        <stp>T&amp;T0</stp>
        <stp>QUL</stp>
        <stp>449</stp>
        <tr r="C457" s="1"/>
      </tp>
      <tp>
        <v>2</v>
        <stp/>
        <stp>T&amp;T1</stp>
        <stp>QUL</stp>
        <stp>448</stp>
        <tr r="I456" s="1"/>
      </tp>
      <tp>
        <v>1</v>
        <stp/>
        <stp>T&amp;T0</stp>
        <stp>QUL</stp>
        <stp>440</stp>
        <tr r="C448" s="1"/>
      </tp>
      <tp>
        <v>1</v>
        <stp/>
        <stp>T&amp;T1</stp>
        <stp>QUL</stp>
        <stp>441</stp>
        <tr r="I449" s="1"/>
      </tp>
      <tp>
        <v>4</v>
        <stp/>
        <stp>T&amp;T0</stp>
        <stp>QUL</stp>
        <stp>441</stp>
        <tr r="C449" s="1"/>
      </tp>
      <tp>
        <v>1</v>
        <stp/>
        <stp>T&amp;T1</stp>
        <stp>QUL</stp>
        <stp>440</stp>
        <tr r="I448" s="1"/>
      </tp>
      <tp>
        <v>2</v>
        <stp/>
        <stp>T&amp;T0</stp>
        <stp>QUL</stp>
        <stp>442</stp>
        <tr r="C450" s="1"/>
      </tp>
      <tp>
        <v>4</v>
        <stp/>
        <stp>T&amp;T1</stp>
        <stp>QUL</stp>
        <stp>443</stp>
        <tr r="I451" s="1"/>
      </tp>
      <tp>
        <v>1</v>
        <stp/>
        <stp>T&amp;T0</stp>
        <stp>QUL</stp>
        <stp>443</stp>
        <tr r="C451" s="1"/>
      </tp>
      <tp>
        <v>2</v>
        <stp/>
        <stp>T&amp;T1</stp>
        <stp>QUL</stp>
        <stp>442</stp>
        <tr r="I450" s="1"/>
      </tp>
      <tp>
        <v>5</v>
        <stp/>
        <stp>T&amp;T0</stp>
        <stp>QUL</stp>
        <stp>444</stp>
        <tr r="C452" s="1"/>
      </tp>
      <tp>
        <v>1</v>
        <stp/>
        <stp>T&amp;T1</stp>
        <stp>QUL</stp>
        <stp>445</stp>
        <tr r="I453" s="1"/>
      </tp>
      <tp>
        <v>3</v>
        <stp/>
        <stp>T&amp;T0</stp>
        <stp>QUL</stp>
        <stp>445</stp>
        <tr r="C453" s="1"/>
      </tp>
      <tp>
        <v>3</v>
        <stp/>
        <stp>T&amp;T1</stp>
        <stp>QUL</stp>
        <stp>444</stp>
        <tr r="I452" s="1"/>
      </tp>
      <tp>
        <v>1</v>
        <stp/>
        <stp>T&amp;T0</stp>
        <stp>QUL</stp>
        <stp>446</stp>
        <tr r="C454" s="1"/>
      </tp>
      <tp>
        <v>1</v>
        <stp/>
        <stp>T&amp;T1</stp>
        <stp>QUL</stp>
        <stp>447</stp>
        <tr r="I455" s="1"/>
      </tp>
      <tp>
        <v>1</v>
        <stp/>
        <stp>T&amp;T0</stp>
        <stp>QUL</stp>
        <stp>447</stp>
        <tr r="C455" s="1"/>
      </tp>
      <tp>
        <v>1</v>
        <stp/>
        <stp>T&amp;T1</stp>
        <stp>QUL</stp>
        <stp>446</stp>
        <tr r="I454" s="1"/>
      </tp>
      <tp>
        <v>1</v>
        <stp/>
        <stp>T&amp;T0</stp>
        <stp>QUL</stp>
        <stp>478</stp>
        <tr r="C486" s="1"/>
      </tp>
      <tp>
        <v>5</v>
        <stp/>
        <stp>T&amp;T1</stp>
        <stp>QUL</stp>
        <stp>479</stp>
        <tr r="I487" s="1"/>
      </tp>
      <tp>
        <v>1</v>
        <stp/>
        <stp>T&amp;T0</stp>
        <stp>QUL</stp>
        <stp>479</stp>
        <tr r="C487" s="1"/>
      </tp>
      <tp>
        <v>3</v>
        <stp/>
        <stp>T&amp;T1</stp>
        <stp>QUL</stp>
        <stp>478</stp>
        <tr r="I486" s="1"/>
      </tp>
      <tp>
        <v>5</v>
        <stp/>
        <stp>T&amp;T0</stp>
        <stp>QUL</stp>
        <stp>470</stp>
        <tr r="C478" s="1"/>
      </tp>
      <tp>
        <v>1</v>
        <stp/>
        <stp>T&amp;T1</stp>
        <stp>QUL</stp>
        <stp>471</stp>
        <tr r="I479" s="1"/>
      </tp>
      <tp>
        <v>1</v>
        <stp/>
        <stp>T&amp;T0</stp>
        <stp>QUL</stp>
        <stp>471</stp>
        <tr r="C479" s="1"/>
      </tp>
      <tp>
        <v>1</v>
        <stp/>
        <stp>T&amp;T1</stp>
        <stp>QUL</stp>
        <stp>470</stp>
        <tr r="I478" s="1"/>
      </tp>
      <tp>
        <v>2</v>
        <stp/>
        <stp>T&amp;T0</stp>
        <stp>QUL</stp>
        <stp>472</stp>
        <tr r="C480" s="1"/>
      </tp>
      <tp>
        <v>1</v>
        <stp/>
        <stp>T&amp;T1</stp>
        <stp>QUL</stp>
        <stp>473</stp>
        <tr r="I481" s="1"/>
      </tp>
      <tp>
        <v>1</v>
        <stp/>
        <stp>T&amp;T0</stp>
        <stp>QUL</stp>
        <stp>473</stp>
        <tr r="C481" s="1"/>
      </tp>
      <tp>
        <v>1</v>
        <stp/>
        <stp>T&amp;T1</stp>
        <stp>QUL</stp>
        <stp>472</stp>
        <tr r="I480" s="1"/>
      </tp>
      <tp>
        <v>2</v>
        <stp/>
        <stp>T&amp;T0</stp>
        <stp>QUL</stp>
        <stp>474</stp>
        <tr r="C482" s="1"/>
      </tp>
      <tp>
        <v>1</v>
        <stp/>
        <stp>T&amp;T1</stp>
        <stp>QUL</stp>
        <stp>475</stp>
        <tr r="I483" s="1"/>
      </tp>
      <tp>
        <v>1</v>
        <stp/>
        <stp>T&amp;T0</stp>
        <stp>QUL</stp>
        <stp>475</stp>
        <tr r="C483" s="1"/>
      </tp>
      <tp>
        <v>6</v>
        <stp/>
        <stp>T&amp;T1</stp>
        <stp>QUL</stp>
        <stp>474</stp>
        <tr r="I482" s="1"/>
      </tp>
      <tp>
        <v>1</v>
        <stp/>
        <stp>T&amp;T0</stp>
        <stp>QUL</stp>
        <stp>476</stp>
        <tr r="C484" s="1"/>
      </tp>
      <tp>
        <v>1</v>
        <stp/>
        <stp>T&amp;T1</stp>
        <stp>QUL</stp>
        <stp>477</stp>
        <tr r="I485" s="1"/>
      </tp>
      <tp>
        <v>1</v>
        <stp/>
        <stp>T&amp;T0</stp>
        <stp>QUL</stp>
        <stp>477</stp>
        <tr r="C485" s="1"/>
      </tp>
      <tp>
        <v>1</v>
        <stp/>
        <stp>T&amp;T1</stp>
        <stp>QUL</stp>
        <stp>476</stp>
        <tr r="I484" s="1"/>
      </tp>
      <tp>
        <v>1</v>
        <stp/>
        <stp>T&amp;T0</stp>
        <stp>QUL</stp>
        <stp>468</stp>
        <tr r="C476" s="1"/>
      </tp>
      <tp>
        <v>1</v>
        <stp/>
        <stp>T&amp;T1</stp>
        <stp>QUL</stp>
        <stp>469</stp>
        <tr r="I477" s="1"/>
      </tp>
      <tp>
        <v>2</v>
        <stp/>
        <stp>T&amp;T0</stp>
        <stp>QUL</stp>
        <stp>469</stp>
        <tr r="C477" s="1"/>
      </tp>
      <tp>
        <v>2</v>
        <stp/>
        <stp>T&amp;T1</stp>
        <stp>QUL</stp>
        <stp>468</stp>
        <tr r="I476" s="1"/>
      </tp>
      <tp>
        <v>2</v>
        <stp/>
        <stp>T&amp;T0</stp>
        <stp>QUL</stp>
        <stp>460</stp>
        <tr r="C468" s="1"/>
      </tp>
      <tp>
        <v>3</v>
        <stp/>
        <stp>T&amp;T1</stp>
        <stp>QUL</stp>
        <stp>461</stp>
        <tr r="I469" s="1"/>
      </tp>
      <tp>
        <v>3</v>
        <stp/>
        <stp>T&amp;T0</stp>
        <stp>QUL</stp>
        <stp>461</stp>
        <tr r="C469" s="1"/>
      </tp>
      <tp>
        <v>2</v>
        <stp/>
        <stp>T&amp;T1</stp>
        <stp>QUL</stp>
        <stp>460</stp>
        <tr r="I468" s="1"/>
      </tp>
      <tp>
        <v>1</v>
        <stp/>
        <stp>T&amp;T0</stp>
        <stp>QUL</stp>
        <stp>462</stp>
        <tr r="C470" s="1"/>
      </tp>
      <tp>
        <v>3</v>
        <stp/>
        <stp>T&amp;T1</stp>
        <stp>QUL</stp>
        <stp>463</stp>
        <tr r="I471" s="1"/>
      </tp>
      <tp>
        <v>1</v>
        <stp/>
        <stp>T&amp;T0</stp>
        <stp>QUL</stp>
        <stp>463</stp>
        <tr r="C471" s="1"/>
      </tp>
      <tp>
        <v>4</v>
        <stp/>
        <stp>T&amp;T1</stp>
        <stp>QUL</stp>
        <stp>462</stp>
        <tr r="I470" s="1"/>
      </tp>
      <tp>
        <v>1</v>
        <stp/>
        <stp>T&amp;T0</stp>
        <stp>QUL</stp>
        <stp>464</stp>
        <tr r="C472" s="1"/>
      </tp>
      <tp>
        <v>1</v>
        <stp/>
        <stp>T&amp;T1</stp>
        <stp>QUL</stp>
        <stp>465</stp>
        <tr r="I473" s="1"/>
      </tp>
      <tp>
        <v>1</v>
        <stp/>
        <stp>T&amp;T0</stp>
        <stp>QUL</stp>
        <stp>465</stp>
        <tr r="C473" s="1"/>
      </tp>
      <tp>
        <v>4</v>
        <stp/>
        <stp>T&amp;T1</stp>
        <stp>QUL</stp>
        <stp>464</stp>
        <tr r="I472" s="1"/>
      </tp>
      <tp>
        <v>1</v>
        <stp/>
        <stp>T&amp;T0</stp>
        <stp>QUL</stp>
        <stp>466</stp>
        <tr r="C474" s="1"/>
      </tp>
      <tp>
        <v>1</v>
        <stp/>
        <stp>T&amp;T1</stp>
        <stp>QUL</stp>
        <stp>467</stp>
        <tr r="I475" s="1"/>
      </tp>
      <tp>
        <v>1</v>
        <stp/>
        <stp>T&amp;T0</stp>
        <stp>QUL</stp>
        <stp>467</stp>
        <tr r="C475" s="1"/>
      </tp>
      <tp>
        <v>9</v>
        <stp/>
        <stp>T&amp;T1</stp>
        <stp>QUL</stp>
        <stp>466</stp>
        <tr r="I474" s="1"/>
      </tp>
      <tp>
        <v>7363</v>
        <stp/>
        <stp>ESM6_M_0</stp>
        <stp>AJA</stp>
        <tr r="I2" s="1"/>
      </tp>
      <tp>
        <v>7340</v>
        <stp/>
        <stp>ESM6_M_0</stp>
        <stp>ABE</stp>
        <tr r="D2" s="1"/>
      </tp>
      <tp t="s">
        <v>ESM6</v>
        <stp/>
        <stp>T&amp;T0</stp>
        <stp>INFO</stp>
        <stp>ATV</stp>
        <tr r="A6" s="1"/>
      </tp>
      <tp t="s">
        <v>ESM6</v>
        <stp/>
        <stp>T&amp;T1</stp>
        <stp>INFO</stp>
        <stp>ATV</stp>
        <tr r="G6" s="1"/>
      </tp>
      <tp>
        <v>7352.25</v>
        <stp/>
        <stp>ESM6_M_0</stp>
        <stp>FEC</stp>
        <tr r="G2" s="1"/>
      </tp>
      <tp t="s">
        <v>07/05/2026</v>
        <stp/>
        <stp>ESM6_M_0</stp>
        <stp>DAT</stp>
        <tr r="B2" s="1"/>
      </tp>
      <tp t="s">
        <v>Comprador</v>
        <stp/>
        <stp>T&amp;T0</stp>
        <stp>AGR</stp>
        <stp>396</stp>
        <tr r="D404" s="1"/>
      </tp>
      <tp t="s">
        <v>Vendedor</v>
        <stp/>
        <stp>T&amp;T1</stp>
        <stp>AGR</stp>
        <stp>397</stp>
        <tr r="J405" s="1"/>
      </tp>
      <tp t="s">
        <v>Comprador</v>
        <stp/>
        <stp>T&amp;T0</stp>
        <stp>AGR</stp>
        <stp>397</stp>
        <tr r="D405" s="1"/>
      </tp>
      <tp t="s">
        <v>Vendedor</v>
        <stp/>
        <stp>T&amp;T1</stp>
        <stp>AGR</stp>
        <stp>396</stp>
        <tr r="J404" s="1"/>
      </tp>
      <tp t="s">
        <v>Comprador</v>
        <stp/>
        <stp>T&amp;T0</stp>
        <stp>AGR</stp>
        <stp>394</stp>
        <tr r="D402" s="1"/>
      </tp>
      <tp t="s">
        <v>Vendedor</v>
        <stp/>
        <stp>T&amp;T1</stp>
        <stp>AGR</stp>
        <stp>395</stp>
        <tr r="J403" s="1"/>
      </tp>
      <tp t="s">
        <v>Comprador</v>
        <stp/>
        <stp>T&amp;T0</stp>
        <stp>AGR</stp>
        <stp>395</stp>
        <tr r="D403" s="1"/>
      </tp>
      <tp t="s">
        <v>Vendedor</v>
        <stp/>
        <stp>T&amp;T1</stp>
        <stp>AGR</stp>
        <stp>394</stp>
        <tr r="J402" s="1"/>
      </tp>
      <tp t="s">
        <v>Comprador</v>
        <stp/>
        <stp>T&amp;T0</stp>
        <stp>AGR</stp>
        <stp>392</stp>
        <tr r="D400" s="1"/>
      </tp>
      <tp t="s">
        <v>Vendedor</v>
        <stp/>
        <stp>T&amp;T1</stp>
        <stp>AGR</stp>
        <stp>393</stp>
        <tr r="J401" s="1"/>
      </tp>
      <tp t="s">
        <v>Comprador</v>
        <stp/>
        <stp>T&amp;T0</stp>
        <stp>AGR</stp>
        <stp>393</stp>
        <tr r="D401" s="1"/>
      </tp>
      <tp t="s">
        <v>Vendedor</v>
        <stp/>
        <stp>T&amp;T1</stp>
        <stp>AGR</stp>
        <stp>392</stp>
        <tr r="J400" s="1"/>
      </tp>
      <tp t="s">
        <v>Comprador</v>
        <stp/>
        <stp>T&amp;T0</stp>
        <stp>AGR</stp>
        <stp>390</stp>
        <tr r="D398" s="1"/>
      </tp>
      <tp t="s">
        <v>Vendedor</v>
        <stp/>
        <stp>T&amp;T1</stp>
        <stp>AGR</stp>
        <stp>391</stp>
        <tr r="J399" s="1"/>
      </tp>
      <tp t="s">
        <v>Comprador</v>
        <stp/>
        <stp>T&amp;T0</stp>
        <stp>AGR</stp>
        <stp>391</stp>
        <tr r="D399" s="1"/>
      </tp>
      <tp t="s">
        <v>Vendedor</v>
        <stp/>
        <stp>T&amp;T1</stp>
        <stp>AGR</stp>
        <stp>390</stp>
        <tr r="J398" s="1"/>
      </tp>
      <tp t="s">
        <v>Comprador</v>
        <stp/>
        <stp>T&amp;T0</stp>
        <stp>AGR</stp>
        <stp>398</stp>
        <tr r="D406" s="1"/>
      </tp>
      <tp t="s">
        <v>Vendedor</v>
        <stp/>
        <stp>T&amp;T1</stp>
        <stp>AGR</stp>
        <stp>399</stp>
        <tr r="J407" s="1"/>
      </tp>
      <tp t="s">
        <v>Comprador</v>
        <stp/>
        <stp>T&amp;T0</stp>
        <stp>AGR</stp>
        <stp>399</stp>
        <tr r="D407" s="1"/>
      </tp>
      <tp t="s">
        <v>Vendedor</v>
        <stp/>
        <stp>T&amp;T1</stp>
        <stp>AGR</stp>
        <stp>398</stp>
        <tr r="J406" s="1"/>
      </tp>
      <tp t="s">
        <v>Comprador</v>
        <stp/>
        <stp>T&amp;T0</stp>
        <stp>AGR</stp>
        <stp>386</stp>
        <tr r="D394" s="1"/>
      </tp>
      <tp t="s">
        <v>Vendedor</v>
        <stp/>
        <stp>T&amp;T1</stp>
        <stp>AGR</stp>
        <stp>387</stp>
        <tr r="J395" s="1"/>
      </tp>
      <tp t="s">
        <v>Comprador</v>
        <stp/>
        <stp>T&amp;T0</stp>
        <stp>AGR</stp>
        <stp>387</stp>
        <tr r="D395" s="1"/>
      </tp>
      <tp t="s">
        <v>Vendedor</v>
        <stp/>
        <stp>T&amp;T1</stp>
        <stp>AGR</stp>
        <stp>386</stp>
        <tr r="J394" s="1"/>
      </tp>
      <tp t="s">
        <v>Comprador</v>
        <stp/>
        <stp>T&amp;T0</stp>
        <stp>AGR</stp>
        <stp>384</stp>
        <tr r="D392" s="1"/>
      </tp>
      <tp t="s">
        <v>Vendedor</v>
        <stp/>
        <stp>T&amp;T1</stp>
        <stp>AGR</stp>
        <stp>385</stp>
        <tr r="J393" s="1"/>
      </tp>
      <tp t="s">
        <v>Comprador</v>
        <stp/>
        <stp>T&amp;T0</stp>
        <stp>AGR</stp>
        <stp>385</stp>
        <tr r="D393" s="1"/>
      </tp>
      <tp t="s">
        <v>Vendedor</v>
        <stp/>
        <stp>T&amp;T1</stp>
        <stp>AGR</stp>
        <stp>384</stp>
        <tr r="J392" s="1"/>
      </tp>
      <tp t="s">
        <v>Comprador</v>
        <stp/>
        <stp>T&amp;T0</stp>
        <stp>AGR</stp>
        <stp>382</stp>
        <tr r="D390" s="1"/>
      </tp>
      <tp t="s">
        <v>Vendedor</v>
        <stp/>
        <stp>T&amp;T1</stp>
        <stp>AGR</stp>
        <stp>383</stp>
        <tr r="J391" s="1"/>
      </tp>
      <tp t="s">
        <v>Comprador</v>
        <stp/>
        <stp>T&amp;T0</stp>
        <stp>AGR</stp>
        <stp>383</stp>
        <tr r="D391" s="1"/>
      </tp>
      <tp t="s">
        <v>Vendedor</v>
        <stp/>
        <stp>T&amp;T1</stp>
        <stp>AGR</stp>
        <stp>382</stp>
        <tr r="J390" s="1"/>
      </tp>
      <tp t="s">
        <v>Comprador</v>
        <stp/>
        <stp>T&amp;T0</stp>
        <stp>AGR</stp>
        <stp>380</stp>
        <tr r="D388" s="1"/>
      </tp>
      <tp t="s">
        <v>Vendedor</v>
        <stp/>
        <stp>T&amp;T1</stp>
        <stp>AGR</stp>
        <stp>381</stp>
        <tr r="J389" s="1"/>
      </tp>
      <tp t="s">
        <v>Comprador</v>
        <stp/>
        <stp>T&amp;T0</stp>
        <stp>AGR</stp>
        <stp>381</stp>
        <tr r="D389" s="1"/>
      </tp>
      <tp t="s">
        <v>Vendedor</v>
        <stp/>
        <stp>T&amp;T1</stp>
        <stp>AGR</stp>
        <stp>380</stp>
        <tr r="J388" s="1"/>
      </tp>
      <tp t="s">
        <v>Comprador</v>
        <stp/>
        <stp>T&amp;T0</stp>
        <stp>AGR</stp>
        <stp>388</stp>
        <tr r="D396" s="1"/>
      </tp>
      <tp t="s">
        <v>Vendedor</v>
        <stp/>
        <stp>T&amp;T1</stp>
        <stp>AGR</stp>
        <stp>389</stp>
        <tr r="J397" s="1"/>
      </tp>
      <tp t="s">
        <v>Comprador</v>
        <stp/>
        <stp>T&amp;T0</stp>
        <stp>AGR</stp>
        <stp>389</stp>
        <tr r="D397" s="1"/>
      </tp>
      <tp t="s">
        <v>Vendedor</v>
        <stp/>
        <stp>T&amp;T1</stp>
        <stp>AGR</stp>
        <stp>388</stp>
        <tr r="J396" s="1"/>
      </tp>
      <tp t="s">
        <v>Comprador</v>
        <stp/>
        <stp>T&amp;T0</stp>
        <stp>AGR</stp>
        <stp>336</stp>
        <tr r="D344" s="1"/>
      </tp>
      <tp t="s">
        <v>Vendedor</v>
        <stp/>
        <stp>T&amp;T1</stp>
        <stp>AGR</stp>
        <stp>337</stp>
        <tr r="J345" s="1"/>
      </tp>
      <tp t="s">
        <v>Comprador</v>
        <stp/>
        <stp>T&amp;T0</stp>
        <stp>AGR</stp>
        <stp>337</stp>
        <tr r="D345" s="1"/>
      </tp>
      <tp t="s">
        <v>Vendedor</v>
        <stp/>
        <stp>T&amp;T1</stp>
        <stp>AGR</stp>
        <stp>336</stp>
        <tr r="J344" s="1"/>
      </tp>
      <tp t="s">
        <v>Comprador</v>
        <stp/>
        <stp>T&amp;T0</stp>
        <stp>AGR</stp>
        <stp>334</stp>
        <tr r="D342" s="1"/>
      </tp>
      <tp t="s">
        <v>Vendedor</v>
        <stp/>
        <stp>T&amp;T1</stp>
        <stp>AGR</stp>
        <stp>335</stp>
        <tr r="J343" s="1"/>
      </tp>
      <tp t="s">
        <v>Comprador</v>
        <stp/>
        <stp>T&amp;T0</stp>
        <stp>AGR</stp>
        <stp>335</stp>
        <tr r="D343" s="1"/>
      </tp>
      <tp t="s">
        <v>Vendedor</v>
        <stp/>
        <stp>T&amp;T1</stp>
        <stp>AGR</stp>
        <stp>334</stp>
        <tr r="J342" s="1"/>
      </tp>
      <tp t="s">
        <v>Comprador</v>
        <stp/>
        <stp>T&amp;T0</stp>
        <stp>AGR</stp>
        <stp>332</stp>
        <tr r="D340" s="1"/>
      </tp>
      <tp t="s">
        <v>Vendedor</v>
        <stp/>
        <stp>T&amp;T1</stp>
        <stp>AGR</stp>
        <stp>333</stp>
        <tr r="J341" s="1"/>
      </tp>
      <tp t="s">
        <v>Comprador</v>
        <stp/>
        <stp>T&amp;T0</stp>
        <stp>AGR</stp>
        <stp>333</stp>
        <tr r="D341" s="1"/>
      </tp>
      <tp t="s">
        <v>Vendedor</v>
        <stp/>
        <stp>T&amp;T1</stp>
        <stp>AGR</stp>
        <stp>332</stp>
        <tr r="J340" s="1"/>
      </tp>
      <tp t="s">
        <v>Comprador</v>
        <stp/>
        <stp>T&amp;T0</stp>
        <stp>AGR</stp>
        <stp>330</stp>
        <tr r="D338" s="1"/>
      </tp>
      <tp t="s">
        <v>Vendedor</v>
        <stp/>
        <stp>T&amp;T1</stp>
        <stp>AGR</stp>
        <stp>331</stp>
        <tr r="J339" s="1"/>
      </tp>
      <tp t="s">
        <v>Comprador</v>
        <stp/>
        <stp>T&amp;T0</stp>
        <stp>AGR</stp>
        <stp>331</stp>
        <tr r="D339" s="1"/>
      </tp>
      <tp t="s">
        <v>Vendedor</v>
        <stp/>
        <stp>T&amp;T1</stp>
        <stp>AGR</stp>
        <stp>330</stp>
        <tr r="J338" s="1"/>
      </tp>
      <tp t="s">
        <v>Comprador</v>
        <stp/>
        <stp>T&amp;T0</stp>
        <stp>AGR</stp>
        <stp>338</stp>
        <tr r="D346" s="1"/>
      </tp>
      <tp t="s">
        <v>Vendedor</v>
        <stp/>
        <stp>T&amp;T1</stp>
        <stp>AGR</stp>
        <stp>339</stp>
        <tr r="J347" s="1"/>
      </tp>
      <tp t="s">
        <v>Comprador</v>
        <stp/>
        <stp>T&amp;T0</stp>
        <stp>AGR</stp>
        <stp>339</stp>
        <tr r="D347" s="1"/>
      </tp>
      <tp t="s">
        <v>Vendedor</v>
        <stp/>
        <stp>T&amp;T1</stp>
        <stp>AGR</stp>
        <stp>338</stp>
        <tr r="J346" s="1"/>
      </tp>
      <tp t="s">
        <v>Comprador</v>
        <stp/>
        <stp>T&amp;T0</stp>
        <stp>AGR</stp>
        <stp>326</stp>
        <tr r="D334" s="1"/>
      </tp>
      <tp t="s">
        <v>Vendedor</v>
        <stp/>
        <stp>T&amp;T1</stp>
        <stp>AGR</stp>
        <stp>327</stp>
        <tr r="J335" s="1"/>
      </tp>
      <tp t="s">
        <v>Comprador</v>
        <stp/>
        <stp>T&amp;T0</stp>
        <stp>AGR</stp>
        <stp>327</stp>
        <tr r="D335" s="1"/>
      </tp>
      <tp t="s">
        <v>Vendedor</v>
        <stp/>
        <stp>T&amp;T1</stp>
        <stp>AGR</stp>
        <stp>326</stp>
        <tr r="J334" s="1"/>
      </tp>
      <tp t="s">
        <v>Comprador</v>
        <stp/>
        <stp>T&amp;T0</stp>
        <stp>AGR</stp>
        <stp>324</stp>
        <tr r="D332" s="1"/>
      </tp>
      <tp t="s">
        <v>Vendedor</v>
        <stp/>
        <stp>T&amp;T1</stp>
        <stp>AGR</stp>
        <stp>325</stp>
        <tr r="J333" s="1"/>
      </tp>
      <tp t="s">
        <v>Comprador</v>
        <stp/>
        <stp>T&amp;T0</stp>
        <stp>AGR</stp>
        <stp>325</stp>
        <tr r="D333" s="1"/>
      </tp>
      <tp t="s">
        <v>Vendedor</v>
        <stp/>
        <stp>T&amp;T1</stp>
        <stp>AGR</stp>
        <stp>324</stp>
        <tr r="J332" s="1"/>
      </tp>
      <tp t="s">
        <v>Comprador</v>
        <stp/>
        <stp>T&amp;T0</stp>
        <stp>AGR</stp>
        <stp>322</stp>
        <tr r="D330" s="1"/>
      </tp>
      <tp t="s">
        <v>Vendedor</v>
        <stp/>
        <stp>T&amp;T1</stp>
        <stp>AGR</stp>
        <stp>323</stp>
        <tr r="J331" s="1"/>
      </tp>
      <tp t="s">
        <v>Comprador</v>
        <stp/>
        <stp>T&amp;T0</stp>
        <stp>AGR</stp>
        <stp>323</stp>
        <tr r="D331" s="1"/>
      </tp>
      <tp t="s">
        <v>Vendedor</v>
        <stp/>
        <stp>T&amp;T1</stp>
        <stp>AGR</stp>
        <stp>322</stp>
        <tr r="J330" s="1"/>
      </tp>
      <tp t="s">
        <v>Comprador</v>
        <stp/>
        <stp>T&amp;T0</stp>
        <stp>AGR</stp>
        <stp>320</stp>
        <tr r="D328" s="1"/>
      </tp>
      <tp t="s">
        <v>Vendedor</v>
        <stp/>
        <stp>T&amp;T1</stp>
        <stp>AGR</stp>
        <stp>321</stp>
        <tr r="J329" s="1"/>
      </tp>
      <tp t="s">
        <v>Comprador</v>
        <stp/>
        <stp>T&amp;T0</stp>
        <stp>AGR</stp>
        <stp>321</stp>
        <tr r="D329" s="1"/>
      </tp>
      <tp t="s">
        <v>Vendedor</v>
        <stp/>
        <stp>T&amp;T1</stp>
        <stp>AGR</stp>
        <stp>320</stp>
        <tr r="J328" s="1"/>
      </tp>
      <tp t="s">
        <v>Comprador</v>
        <stp/>
        <stp>T&amp;T0</stp>
        <stp>AGR</stp>
        <stp>328</stp>
        <tr r="D336" s="1"/>
      </tp>
      <tp t="s">
        <v>Vendedor</v>
        <stp/>
        <stp>T&amp;T1</stp>
        <stp>AGR</stp>
        <stp>329</stp>
        <tr r="J337" s="1"/>
      </tp>
      <tp t="s">
        <v>Comprador</v>
        <stp/>
        <stp>T&amp;T0</stp>
        <stp>AGR</stp>
        <stp>329</stp>
        <tr r="D337" s="1"/>
      </tp>
      <tp t="s">
        <v>Vendedor</v>
        <stp/>
        <stp>T&amp;T1</stp>
        <stp>AGR</stp>
        <stp>328</stp>
        <tr r="J336" s="1"/>
      </tp>
      <tp t="s">
        <v>Comprador</v>
        <stp/>
        <stp>T&amp;T0</stp>
        <stp>AGR</stp>
        <stp>316</stp>
        <tr r="D324" s="1"/>
      </tp>
      <tp t="s">
        <v>Vendedor</v>
        <stp/>
        <stp>T&amp;T1</stp>
        <stp>AGR</stp>
        <stp>317</stp>
        <tr r="J325" s="1"/>
      </tp>
      <tp t="s">
        <v>Comprador</v>
        <stp/>
        <stp>T&amp;T0</stp>
        <stp>AGR</stp>
        <stp>317</stp>
        <tr r="D325" s="1"/>
      </tp>
      <tp t="s">
        <v>Vendedor</v>
        <stp/>
        <stp>T&amp;T1</stp>
        <stp>AGR</stp>
        <stp>316</stp>
        <tr r="J324" s="1"/>
      </tp>
      <tp t="s">
        <v>Comprador</v>
        <stp/>
        <stp>T&amp;T0</stp>
        <stp>AGR</stp>
        <stp>314</stp>
        <tr r="D322" s="1"/>
      </tp>
      <tp t="s">
        <v>Vendedor</v>
        <stp/>
        <stp>T&amp;T1</stp>
        <stp>AGR</stp>
        <stp>315</stp>
        <tr r="J323" s="1"/>
      </tp>
      <tp t="s">
        <v>Comprador</v>
        <stp/>
        <stp>T&amp;T0</stp>
        <stp>AGR</stp>
        <stp>315</stp>
        <tr r="D323" s="1"/>
      </tp>
      <tp t="s">
        <v>Vendedor</v>
        <stp/>
        <stp>T&amp;T1</stp>
        <stp>AGR</stp>
        <stp>314</stp>
        <tr r="J322" s="1"/>
      </tp>
      <tp t="s">
        <v>Comprador</v>
        <stp/>
        <stp>T&amp;T0</stp>
        <stp>AGR</stp>
        <stp>312</stp>
        <tr r="D320" s="1"/>
      </tp>
      <tp t="s">
        <v>Vendedor</v>
        <stp/>
        <stp>T&amp;T1</stp>
        <stp>AGR</stp>
        <stp>313</stp>
        <tr r="J321" s="1"/>
      </tp>
      <tp t="s">
        <v>Comprador</v>
        <stp/>
        <stp>T&amp;T0</stp>
        <stp>AGR</stp>
        <stp>313</stp>
        <tr r="D321" s="1"/>
      </tp>
      <tp t="s">
        <v>Vendedor</v>
        <stp/>
        <stp>T&amp;T1</stp>
        <stp>AGR</stp>
        <stp>312</stp>
        <tr r="J320" s="1"/>
      </tp>
      <tp t="s">
        <v>Comprador</v>
        <stp/>
        <stp>T&amp;T0</stp>
        <stp>AGR</stp>
        <stp>310</stp>
        <tr r="D318" s="1"/>
      </tp>
      <tp t="s">
        <v>Vendedor</v>
        <stp/>
        <stp>T&amp;T1</stp>
        <stp>AGR</stp>
        <stp>311</stp>
        <tr r="J319" s="1"/>
      </tp>
      <tp t="s">
        <v>Comprador</v>
        <stp/>
        <stp>T&amp;T0</stp>
        <stp>AGR</stp>
        <stp>311</stp>
        <tr r="D319" s="1"/>
      </tp>
      <tp t="s">
        <v>Vendedor</v>
        <stp/>
        <stp>T&amp;T1</stp>
        <stp>AGR</stp>
        <stp>310</stp>
        <tr r="J318" s="1"/>
      </tp>
      <tp t="s">
        <v>Comprador</v>
        <stp/>
        <stp>T&amp;T0</stp>
        <stp>AGR</stp>
        <stp>318</stp>
        <tr r="D326" s="1"/>
      </tp>
      <tp t="s">
        <v>Vendedor</v>
        <stp/>
        <stp>T&amp;T1</stp>
        <stp>AGR</stp>
        <stp>319</stp>
        <tr r="J327" s="1"/>
      </tp>
      <tp t="s">
        <v>Comprador</v>
        <stp/>
        <stp>T&amp;T0</stp>
        <stp>AGR</stp>
        <stp>319</stp>
        <tr r="D327" s="1"/>
      </tp>
      <tp t="s">
        <v>Vendedor</v>
        <stp/>
        <stp>T&amp;T1</stp>
        <stp>AGR</stp>
        <stp>318</stp>
        <tr r="J326" s="1"/>
      </tp>
      <tp t="s">
        <v>Comprador</v>
        <stp/>
        <stp>T&amp;T0</stp>
        <stp>AGR</stp>
        <stp>306</stp>
        <tr r="D314" s="1"/>
      </tp>
      <tp t="s">
        <v>Vendedor</v>
        <stp/>
        <stp>T&amp;T1</stp>
        <stp>AGR</stp>
        <stp>307</stp>
        <tr r="J315" s="1"/>
      </tp>
      <tp t="s">
        <v>Comprador</v>
        <stp/>
        <stp>T&amp;T0</stp>
        <stp>AGR</stp>
        <stp>307</stp>
        <tr r="D315" s="1"/>
      </tp>
      <tp t="s">
        <v>Vendedor</v>
        <stp/>
        <stp>T&amp;T1</stp>
        <stp>AGR</stp>
        <stp>306</stp>
        <tr r="J314" s="1"/>
      </tp>
      <tp t="s">
        <v>Comprador</v>
        <stp/>
        <stp>T&amp;T0</stp>
        <stp>AGR</stp>
        <stp>304</stp>
        <tr r="D312" s="1"/>
      </tp>
      <tp t="s">
        <v>Vendedor</v>
        <stp/>
        <stp>T&amp;T1</stp>
        <stp>AGR</stp>
        <stp>305</stp>
        <tr r="J313" s="1"/>
      </tp>
      <tp t="s">
        <v>Comprador</v>
        <stp/>
        <stp>T&amp;T0</stp>
        <stp>AGR</stp>
        <stp>305</stp>
        <tr r="D313" s="1"/>
      </tp>
      <tp t="s">
        <v>Vendedor</v>
        <stp/>
        <stp>T&amp;T1</stp>
        <stp>AGR</stp>
        <stp>304</stp>
        <tr r="J312" s="1"/>
      </tp>
      <tp t="s">
        <v>Comprador</v>
        <stp/>
        <stp>T&amp;T0</stp>
        <stp>AGR</stp>
        <stp>302</stp>
        <tr r="D310" s="1"/>
      </tp>
      <tp t="s">
        <v>Vendedor</v>
        <stp/>
        <stp>T&amp;T1</stp>
        <stp>AGR</stp>
        <stp>303</stp>
        <tr r="J311" s="1"/>
      </tp>
      <tp t="s">
        <v>Comprador</v>
        <stp/>
        <stp>T&amp;T0</stp>
        <stp>AGR</stp>
        <stp>303</stp>
        <tr r="D311" s="1"/>
      </tp>
      <tp t="s">
        <v>Vendedor</v>
        <stp/>
        <stp>T&amp;T1</stp>
        <stp>AGR</stp>
        <stp>302</stp>
        <tr r="J310" s="1"/>
      </tp>
      <tp t="s">
        <v>Comprador</v>
        <stp/>
        <stp>T&amp;T0</stp>
        <stp>AGR</stp>
        <stp>300</stp>
        <tr r="D308" s="1"/>
      </tp>
      <tp t="s">
        <v>Vendedor</v>
        <stp/>
        <stp>T&amp;T1</stp>
        <stp>AGR</stp>
        <stp>301</stp>
        <tr r="J309" s="1"/>
      </tp>
      <tp t="s">
        <v>Comprador</v>
        <stp/>
        <stp>T&amp;T0</stp>
        <stp>AGR</stp>
        <stp>301</stp>
        <tr r="D309" s="1"/>
      </tp>
      <tp t="s">
        <v>Vendedor</v>
        <stp/>
        <stp>T&amp;T1</stp>
        <stp>AGR</stp>
        <stp>300</stp>
        <tr r="J308" s="1"/>
      </tp>
      <tp t="s">
        <v>Comprador</v>
        <stp/>
        <stp>T&amp;T0</stp>
        <stp>AGR</stp>
        <stp>308</stp>
        <tr r="D316" s="1"/>
      </tp>
      <tp t="s">
        <v>Vendedor</v>
        <stp/>
        <stp>T&amp;T1</stp>
        <stp>AGR</stp>
        <stp>309</stp>
        <tr r="J317" s="1"/>
      </tp>
      <tp t="s">
        <v>Comprador</v>
        <stp/>
        <stp>T&amp;T0</stp>
        <stp>AGR</stp>
        <stp>309</stp>
        <tr r="D317" s="1"/>
      </tp>
      <tp t="s">
        <v>Vendedor</v>
        <stp/>
        <stp>T&amp;T1</stp>
        <stp>AGR</stp>
        <stp>308</stp>
        <tr r="J316" s="1"/>
      </tp>
      <tp t="s">
        <v>Comprador</v>
        <stp/>
        <stp>T&amp;T0</stp>
        <stp>AGR</stp>
        <stp>376</stp>
        <tr r="D384" s="1"/>
      </tp>
      <tp t="s">
        <v>Vendedor</v>
        <stp/>
        <stp>T&amp;T1</stp>
        <stp>AGR</stp>
        <stp>377</stp>
        <tr r="J385" s="1"/>
      </tp>
      <tp t="s">
        <v>Comprador</v>
        <stp/>
        <stp>T&amp;T0</stp>
        <stp>AGR</stp>
        <stp>377</stp>
        <tr r="D385" s="1"/>
      </tp>
      <tp t="s">
        <v>Vendedor</v>
        <stp/>
        <stp>T&amp;T1</stp>
        <stp>AGR</stp>
        <stp>376</stp>
        <tr r="J384" s="1"/>
      </tp>
      <tp t="s">
        <v>Comprador</v>
        <stp/>
        <stp>T&amp;T0</stp>
        <stp>AGR</stp>
        <stp>374</stp>
        <tr r="D382" s="1"/>
      </tp>
      <tp t="s">
        <v>Vendedor</v>
        <stp/>
        <stp>T&amp;T1</stp>
        <stp>AGR</stp>
        <stp>375</stp>
        <tr r="J383" s="1"/>
      </tp>
      <tp t="s">
        <v>Comprador</v>
        <stp/>
        <stp>T&amp;T0</stp>
        <stp>AGR</stp>
        <stp>375</stp>
        <tr r="D383" s="1"/>
      </tp>
      <tp t="s">
        <v>Vendedor</v>
        <stp/>
        <stp>T&amp;T1</stp>
        <stp>AGR</stp>
        <stp>374</stp>
        <tr r="J382" s="1"/>
      </tp>
      <tp t="s">
        <v>Comprador</v>
        <stp/>
        <stp>T&amp;T0</stp>
        <stp>AGR</stp>
        <stp>372</stp>
        <tr r="D380" s="1"/>
      </tp>
      <tp t="s">
        <v>Vendedor</v>
        <stp/>
        <stp>T&amp;T1</stp>
        <stp>AGR</stp>
        <stp>373</stp>
        <tr r="J381" s="1"/>
      </tp>
      <tp t="s">
        <v>Comprador</v>
        <stp/>
        <stp>T&amp;T0</stp>
        <stp>AGR</stp>
        <stp>373</stp>
        <tr r="D381" s="1"/>
      </tp>
      <tp t="s">
        <v>Vendedor</v>
        <stp/>
        <stp>T&amp;T1</stp>
        <stp>AGR</stp>
        <stp>372</stp>
        <tr r="J380" s="1"/>
      </tp>
      <tp t="s">
        <v>Comprador</v>
        <stp/>
        <stp>T&amp;T0</stp>
        <stp>AGR</stp>
        <stp>370</stp>
        <tr r="D378" s="1"/>
      </tp>
      <tp t="s">
        <v>Vendedor</v>
        <stp/>
        <stp>T&amp;T1</stp>
        <stp>AGR</stp>
        <stp>371</stp>
        <tr r="J379" s="1"/>
      </tp>
      <tp t="s">
        <v>Comprador</v>
        <stp/>
        <stp>T&amp;T0</stp>
        <stp>AGR</stp>
        <stp>371</stp>
        <tr r="D379" s="1"/>
      </tp>
      <tp t="s">
        <v>Vendedor</v>
        <stp/>
        <stp>T&amp;T1</stp>
        <stp>AGR</stp>
        <stp>370</stp>
        <tr r="J378" s="1"/>
      </tp>
      <tp t="s">
        <v>Comprador</v>
        <stp/>
        <stp>T&amp;T0</stp>
        <stp>AGR</stp>
        <stp>378</stp>
        <tr r="D386" s="1"/>
      </tp>
      <tp t="s">
        <v>Vendedor</v>
        <stp/>
        <stp>T&amp;T1</stp>
        <stp>AGR</stp>
        <stp>379</stp>
        <tr r="J387" s="1"/>
      </tp>
      <tp t="s">
        <v>Comprador</v>
        <stp/>
        <stp>T&amp;T0</stp>
        <stp>AGR</stp>
        <stp>379</stp>
        <tr r="D387" s="1"/>
      </tp>
      <tp t="s">
        <v>Vendedor</v>
        <stp/>
        <stp>T&amp;T1</stp>
        <stp>AGR</stp>
        <stp>378</stp>
        <tr r="J386" s="1"/>
      </tp>
      <tp t="s">
        <v>Comprador</v>
        <stp/>
        <stp>T&amp;T0</stp>
        <stp>AGR</stp>
        <stp>366</stp>
        <tr r="D374" s="1"/>
      </tp>
      <tp t="s">
        <v>Vendedor</v>
        <stp/>
        <stp>T&amp;T1</stp>
        <stp>AGR</stp>
        <stp>367</stp>
        <tr r="J375" s="1"/>
      </tp>
      <tp t="s">
        <v>Comprador</v>
        <stp/>
        <stp>T&amp;T0</stp>
        <stp>AGR</stp>
        <stp>367</stp>
        <tr r="D375" s="1"/>
      </tp>
      <tp t="s">
        <v>Vendedor</v>
        <stp/>
        <stp>T&amp;T1</stp>
        <stp>AGR</stp>
        <stp>366</stp>
        <tr r="J374" s="1"/>
      </tp>
      <tp t="s">
        <v>Comprador</v>
        <stp/>
        <stp>T&amp;T0</stp>
        <stp>AGR</stp>
        <stp>364</stp>
        <tr r="D372" s="1"/>
      </tp>
      <tp t="s">
        <v>Vendedor</v>
        <stp/>
        <stp>T&amp;T1</stp>
        <stp>AGR</stp>
        <stp>365</stp>
        <tr r="J373" s="1"/>
      </tp>
      <tp t="s">
        <v>Comprador</v>
        <stp/>
        <stp>T&amp;T0</stp>
        <stp>AGR</stp>
        <stp>365</stp>
        <tr r="D373" s="1"/>
      </tp>
      <tp t="s">
        <v>Vendedor</v>
        <stp/>
        <stp>T&amp;T1</stp>
        <stp>AGR</stp>
        <stp>364</stp>
        <tr r="J372" s="1"/>
      </tp>
      <tp t="s">
        <v>Comprador</v>
        <stp/>
        <stp>T&amp;T0</stp>
        <stp>AGR</stp>
        <stp>362</stp>
        <tr r="D370" s="1"/>
      </tp>
      <tp t="s">
        <v>Vendedor</v>
        <stp/>
        <stp>T&amp;T1</stp>
        <stp>AGR</stp>
        <stp>363</stp>
        <tr r="J371" s="1"/>
      </tp>
      <tp t="s">
        <v>Comprador</v>
        <stp/>
        <stp>T&amp;T0</stp>
        <stp>AGR</stp>
        <stp>363</stp>
        <tr r="D371" s="1"/>
      </tp>
      <tp t="s">
        <v>Vendedor</v>
        <stp/>
        <stp>T&amp;T1</stp>
        <stp>AGR</stp>
        <stp>362</stp>
        <tr r="J370" s="1"/>
      </tp>
      <tp t="s">
        <v>Comprador</v>
        <stp/>
        <stp>T&amp;T0</stp>
        <stp>AGR</stp>
        <stp>360</stp>
        <tr r="D368" s="1"/>
      </tp>
      <tp t="s">
        <v>Vendedor</v>
        <stp/>
        <stp>T&amp;T1</stp>
        <stp>AGR</stp>
        <stp>361</stp>
        <tr r="J369" s="1"/>
      </tp>
      <tp t="s">
        <v>Comprador</v>
        <stp/>
        <stp>T&amp;T0</stp>
        <stp>AGR</stp>
        <stp>361</stp>
        <tr r="D369" s="1"/>
      </tp>
      <tp t="s">
        <v>Vendedor</v>
        <stp/>
        <stp>T&amp;T1</stp>
        <stp>AGR</stp>
        <stp>360</stp>
        <tr r="J368" s="1"/>
      </tp>
      <tp t="s">
        <v>Comprador</v>
        <stp/>
        <stp>T&amp;T0</stp>
        <stp>AGR</stp>
        <stp>368</stp>
        <tr r="D376" s="1"/>
      </tp>
      <tp t="s">
        <v>Vendedor</v>
        <stp/>
        <stp>T&amp;T1</stp>
        <stp>AGR</stp>
        <stp>369</stp>
        <tr r="J377" s="1"/>
      </tp>
      <tp t="s">
        <v>Comprador</v>
        <stp/>
        <stp>T&amp;T0</stp>
        <stp>AGR</stp>
        <stp>369</stp>
        <tr r="D377" s="1"/>
      </tp>
      <tp t="s">
        <v>Vendedor</v>
        <stp/>
        <stp>T&amp;T1</stp>
        <stp>AGR</stp>
        <stp>368</stp>
        <tr r="J376" s="1"/>
      </tp>
      <tp t="s">
        <v>Comprador</v>
        <stp/>
        <stp>T&amp;T0</stp>
        <stp>AGR</stp>
        <stp>356</stp>
        <tr r="D364" s="1"/>
      </tp>
      <tp t="s">
        <v>Vendedor</v>
        <stp/>
        <stp>T&amp;T1</stp>
        <stp>AGR</stp>
        <stp>357</stp>
        <tr r="J365" s="1"/>
      </tp>
      <tp t="s">
        <v>Comprador</v>
        <stp/>
        <stp>T&amp;T0</stp>
        <stp>AGR</stp>
        <stp>357</stp>
        <tr r="D365" s="1"/>
      </tp>
      <tp t="s">
        <v>Vendedor</v>
        <stp/>
        <stp>T&amp;T1</stp>
        <stp>AGR</stp>
        <stp>356</stp>
        <tr r="J364" s="1"/>
      </tp>
      <tp t="s">
        <v>Comprador</v>
        <stp/>
        <stp>T&amp;T0</stp>
        <stp>AGR</stp>
        <stp>354</stp>
        <tr r="D362" s="1"/>
      </tp>
      <tp t="s">
        <v>Vendedor</v>
        <stp/>
        <stp>T&amp;T1</stp>
        <stp>AGR</stp>
        <stp>355</stp>
        <tr r="J363" s="1"/>
      </tp>
      <tp t="s">
        <v>Comprador</v>
        <stp/>
        <stp>T&amp;T0</stp>
        <stp>AGR</stp>
        <stp>355</stp>
        <tr r="D363" s="1"/>
      </tp>
      <tp t="s">
        <v>Vendedor</v>
        <stp/>
        <stp>T&amp;T1</stp>
        <stp>AGR</stp>
        <stp>354</stp>
        <tr r="J362" s="1"/>
      </tp>
      <tp t="s">
        <v>Comprador</v>
        <stp/>
        <stp>T&amp;T0</stp>
        <stp>AGR</stp>
        <stp>352</stp>
        <tr r="D360" s="1"/>
      </tp>
      <tp t="s">
        <v>Vendedor</v>
        <stp/>
        <stp>T&amp;T1</stp>
        <stp>AGR</stp>
        <stp>353</stp>
        <tr r="J361" s="1"/>
      </tp>
      <tp t="s">
        <v>Comprador</v>
        <stp/>
        <stp>T&amp;T0</stp>
        <stp>AGR</stp>
        <stp>353</stp>
        <tr r="D361" s="1"/>
      </tp>
      <tp t="s">
        <v>Vendedor</v>
        <stp/>
        <stp>T&amp;T1</stp>
        <stp>AGR</stp>
        <stp>352</stp>
        <tr r="J360" s="1"/>
      </tp>
      <tp t="s">
        <v>Comprador</v>
        <stp/>
        <stp>T&amp;T0</stp>
        <stp>AGR</stp>
        <stp>350</stp>
        <tr r="D358" s="1"/>
      </tp>
      <tp t="s">
        <v>Vendedor</v>
        <stp/>
        <stp>T&amp;T1</stp>
        <stp>AGR</stp>
        <stp>351</stp>
        <tr r="J359" s="1"/>
      </tp>
      <tp t="s">
        <v>Comprador</v>
        <stp/>
        <stp>T&amp;T0</stp>
        <stp>AGR</stp>
        <stp>351</stp>
        <tr r="D359" s="1"/>
      </tp>
      <tp t="s">
        <v>Vendedor</v>
        <stp/>
        <stp>T&amp;T1</stp>
        <stp>AGR</stp>
        <stp>350</stp>
        <tr r="J358" s="1"/>
      </tp>
      <tp t="s">
        <v>Comprador</v>
        <stp/>
        <stp>T&amp;T0</stp>
        <stp>AGR</stp>
        <stp>358</stp>
        <tr r="D366" s="1"/>
      </tp>
      <tp t="s">
        <v>Vendedor</v>
        <stp/>
        <stp>T&amp;T1</stp>
        <stp>AGR</stp>
        <stp>359</stp>
        <tr r="J367" s="1"/>
      </tp>
      <tp t="s">
        <v>Comprador</v>
        <stp/>
        <stp>T&amp;T0</stp>
        <stp>AGR</stp>
        <stp>359</stp>
        <tr r="D367" s="1"/>
      </tp>
      <tp t="s">
        <v>Vendedor</v>
        <stp/>
        <stp>T&amp;T1</stp>
        <stp>AGR</stp>
        <stp>358</stp>
        <tr r="J366" s="1"/>
      </tp>
      <tp t="s">
        <v>Comprador</v>
        <stp/>
        <stp>T&amp;T0</stp>
        <stp>AGR</stp>
        <stp>346</stp>
        <tr r="D354" s="1"/>
      </tp>
      <tp t="s">
        <v>Vendedor</v>
        <stp/>
        <stp>T&amp;T1</stp>
        <stp>AGR</stp>
        <stp>347</stp>
        <tr r="J355" s="1"/>
      </tp>
      <tp t="s">
        <v>Comprador</v>
        <stp/>
        <stp>T&amp;T0</stp>
        <stp>AGR</stp>
        <stp>347</stp>
        <tr r="D355" s="1"/>
      </tp>
      <tp t="s">
        <v>Vendedor</v>
        <stp/>
        <stp>T&amp;T1</stp>
        <stp>AGR</stp>
        <stp>346</stp>
        <tr r="J354" s="1"/>
      </tp>
      <tp t="s">
        <v>Comprador</v>
        <stp/>
        <stp>T&amp;T0</stp>
        <stp>AGR</stp>
        <stp>344</stp>
        <tr r="D352" s="1"/>
      </tp>
      <tp t="s">
        <v>Vendedor</v>
        <stp/>
        <stp>T&amp;T1</stp>
        <stp>AGR</stp>
        <stp>345</stp>
        <tr r="J353" s="1"/>
      </tp>
      <tp t="s">
        <v>Comprador</v>
        <stp/>
        <stp>T&amp;T0</stp>
        <stp>AGR</stp>
        <stp>345</stp>
        <tr r="D353" s="1"/>
      </tp>
      <tp t="s">
        <v>Vendedor</v>
        <stp/>
        <stp>T&amp;T1</stp>
        <stp>AGR</stp>
        <stp>344</stp>
        <tr r="J352" s="1"/>
      </tp>
      <tp t="s">
        <v>Comprador</v>
        <stp/>
        <stp>T&amp;T0</stp>
        <stp>AGR</stp>
        <stp>342</stp>
        <tr r="D350" s="1"/>
      </tp>
      <tp t="s">
        <v>Vendedor</v>
        <stp/>
        <stp>T&amp;T1</stp>
        <stp>AGR</stp>
        <stp>343</stp>
        <tr r="J351" s="1"/>
      </tp>
      <tp t="s">
        <v>Comprador</v>
        <stp/>
        <stp>T&amp;T0</stp>
        <stp>AGR</stp>
        <stp>343</stp>
        <tr r="D351" s="1"/>
      </tp>
      <tp t="s">
        <v>Vendedor</v>
        <stp/>
        <stp>T&amp;T1</stp>
        <stp>AGR</stp>
        <stp>342</stp>
        <tr r="J350" s="1"/>
      </tp>
      <tp t="s">
        <v>Comprador</v>
        <stp/>
        <stp>T&amp;T0</stp>
        <stp>AGR</stp>
        <stp>340</stp>
        <tr r="D348" s="1"/>
      </tp>
      <tp t="s">
        <v>Vendedor</v>
        <stp/>
        <stp>T&amp;T1</stp>
        <stp>AGR</stp>
        <stp>341</stp>
        <tr r="J349" s="1"/>
      </tp>
      <tp t="s">
        <v>Comprador</v>
        <stp/>
        <stp>T&amp;T0</stp>
        <stp>AGR</stp>
        <stp>341</stp>
        <tr r="D349" s="1"/>
      </tp>
      <tp t="s">
        <v>Vendedor</v>
        <stp/>
        <stp>T&amp;T1</stp>
        <stp>AGR</stp>
        <stp>340</stp>
        <tr r="J348" s="1"/>
      </tp>
      <tp t="s">
        <v>Comprador</v>
        <stp/>
        <stp>T&amp;T0</stp>
        <stp>AGR</stp>
        <stp>348</stp>
        <tr r="D356" s="1"/>
      </tp>
      <tp t="s">
        <v>Vendedor</v>
        <stp/>
        <stp>T&amp;T1</stp>
        <stp>AGR</stp>
        <stp>349</stp>
        <tr r="J357" s="1"/>
      </tp>
      <tp t="s">
        <v>Comprador</v>
        <stp/>
        <stp>T&amp;T0</stp>
        <stp>AGR</stp>
        <stp>349</stp>
        <tr r="D357" s="1"/>
      </tp>
      <tp t="s">
        <v>Vendedor</v>
        <stp/>
        <stp>T&amp;T1</stp>
        <stp>AGR</stp>
        <stp>348</stp>
        <tr r="J356" s="1"/>
      </tp>
      <tp t="s">
        <v>Comprador</v>
        <stp/>
        <stp>T&amp;T0</stp>
        <stp>AGR</stp>
        <stp>296</stp>
        <tr r="D304" s="1"/>
      </tp>
      <tp t="s">
        <v>Vendedor</v>
        <stp/>
        <stp>T&amp;T1</stp>
        <stp>AGR</stp>
        <stp>297</stp>
        <tr r="J305" s="1"/>
      </tp>
      <tp t="s">
        <v>Comprador</v>
        <stp/>
        <stp>T&amp;T0</stp>
        <stp>AGR</stp>
        <stp>297</stp>
        <tr r="D305" s="1"/>
      </tp>
      <tp t="s">
        <v>Vendedor</v>
        <stp/>
        <stp>T&amp;T1</stp>
        <stp>AGR</stp>
        <stp>296</stp>
        <tr r="J304" s="1"/>
      </tp>
      <tp t="s">
        <v>Comprador</v>
        <stp/>
        <stp>T&amp;T0</stp>
        <stp>AGR</stp>
        <stp>294</stp>
        <tr r="D302" s="1"/>
      </tp>
      <tp t="s">
        <v>Vendedor</v>
        <stp/>
        <stp>T&amp;T1</stp>
        <stp>AGR</stp>
        <stp>295</stp>
        <tr r="J303" s="1"/>
      </tp>
      <tp t="s">
        <v>Comprador</v>
        <stp/>
        <stp>T&amp;T0</stp>
        <stp>AGR</stp>
        <stp>295</stp>
        <tr r="D303" s="1"/>
      </tp>
      <tp t="s">
        <v>Vendedor</v>
        <stp/>
        <stp>T&amp;T1</stp>
        <stp>AGR</stp>
        <stp>294</stp>
        <tr r="J302" s="1"/>
      </tp>
      <tp t="s">
        <v>Comprador</v>
        <stp/>
        <stp>T&amp;T0</stp>
        <stp>AGR</stp>
        <stp>292</stp>
        <tr r="D300" s="1"/>
      </tp>
      <tp t="s">
        <v>Vendedor</v>
        <stp/>
        <stp>T&amp;T1</stp>
        <stp>AGR</stp>
        <stp>293</stp>
        <tr r="J301" s="1"/>
      </tp>
      <tp t="s">
        <v>Comprador</v>
        <stp/>
        <stp>T&amp;T0</stp>
        <stp>AGR</stp>
        <stp>293</stp>
        <tr r="D301" s="1"/>
      </tp>
      <tp t="s">
        <v>Vendedor</v>
        <stp/>
        <stp>T&amp;T1</stp>
        <stp>AGR</stp>
        <stp>292</stp>
        <tr r="J300" s="1"/>
      </tp>
      <tp t="s">
        <v>Comprador</v>
        <stp/>
        <stp>T&amp;T0</stp>
        <stp>AGR</stp>
        <stp>290</stp>
        <tr r="D298" s="1"/>
      </tp>
      <tp t="s">
        <v>Vendedor</v>
        <stp/>
        <stp>T&amp;T1</stp>
        <stp>AGR</stp>
        <stp>291</stp>
        <tr r="J299" s="1"/>
      </tp>
      <tp t="s">
        <v>Comprador</v>
        <stp/>
        <stp>T&amp;T0</stp>
        <stp>AGR</stp>
        <stp>291</stp>
        <tr r="D299" s="1"/>
      </tp>
      <tp t="s">
        <v>Vendedor</v>
        <stp/>
        <stp>T&amp;T1</stp>
        <stp>AGR</stp>
        <stp>290</stp>
        <tr r="J298" s="1"/>
      </tp>
      <tp t="s">
        <v>Comprador</v>
        <stp/>
        <stp>T&amp;T0</stp>
        <stp>AGR</stp>
        <stp>298</stp>
        <tr r="D306" s="1"/>
      </tp>
      <tp t="s">
        <v>Vendedor</v>
        <stp/>
        <stp>T&amp;T1</stp>
        <stp>AGR</stp>
        <stp>299</stp>
        <tr r="J307" s="1"/>
      </tp>
      <tp t="s">
        <v>Comprador</v>
        <stp/>
        <stp>T&amp;T0</stp>
        <stp>AGR</stp>
        <stp>299</stp>
        <tr r="D307" s="1"/>
      </tp>
      <tp t="s">
        <v>Vendedor</v>
        <stp/>
        <stp>T&amp;T1</stp>
        <stp>AGR</stp>
        <stp>298</stp>
        <tr r="J306" s="1"/>
      </tp>
      <tp t="s">
        <v>Comprador</v>
        <stp/>
        <stp>T&amp;T0</stp>
        <stp>AGR</stp>
        <stp>286</stp>
        <tr r="D294" s="1"/>
      </tp>
      <tp t="s">
        <v>Vendedor</v>
        <stp/>
        <stp>T&amp;T1</stp>
        <stp>AGR</stp>
        <stp>287</stp>
        <tr r="J295" s="1"/>
      </tp>
      <tp t="s">
        <v>Comprador</v>
        <stp/>
        <stp>T&amp;T0</stp>
        <stp>AGR</stp>
        <stp>287</stp>
        <tr r="D295" s="1"/>
      </tp>
      <tp t="s">
        <v>Vendedor</v>
        <stp/>
        <stp>T&amp;T1</stp>
        <stp>AGR</stp>
        <stp>286</stp>
        <tr r="J294" s="1"/>
      </tp>
      <tp t="s">
        <v>Comprador</v>
        <stp/>
        <stp>T&amp;T0</stp>
        <stp>AGR</stp>
        <stp>284</stp>
        <tr r="D292" s="1"/>
      </tp>
      <tp t="s">
        <v>Vendedor</v>
        <stp/>
        <stp>T&amp;T1</stp>
        <stp>AGR</stp>
        <stp>285</stp>
        <tr r="J293" s="1"/>
      </tp>
      <tp t="s">
        <v>Comprador</v>
        <stp/>
        <stp>T&amp;T0</stp>
        <stp>AGR</stp>
        <stp>285</stp>
        <tr r="D293" s="1"/>
      </tp>
      <tp t="s">
        <v>Vendedor</v>
        <stp/>
        <stp>T&amp;T1</stp>
        <stp>AGR</stp>
        <stp>284</stp>
        <tr r="J292" s="1"/>
      </tp>
      <tp t="s">
        <v>Comprador</v>
        <stp/>
        <stp>T&amp;T0</stp>
        <stp>AGR</stp>
        <stp>282</stp>
        <tr r="D290" s="1"/>
      </tp>
      <tp t="s">
        <v>Vendedor</v>
        <stp/>
        <stp>T&amp;T1</stp>
        <stp>AGR</stp>
        <stp>283</stp>
        <tr r="J291" s="1"/>
      </tp>
      <tp t="s">
        <v>Comprador</v>
        <stp/>
        <stp>T&amp;T0</stp>
        <stp>AGR</stp>
        <stp>283</stp>
        <tr r="D291" s="1"/>
      </tp>
      <tp t="s">
        <v>Vendedor</v>
        <stp/>
        <stp>T&amp;T1</stp>
        <stp>AGR</stp>
        <stp>282</stp>
        <tr r="J290" s="1"/>
      </tp>
      <tp t="s">
        <v>Comprador</v>
        <stp/>
        <stp>T&amp;T0</stp>
        <stp>AGR</stp>
        <stp>280</stp>
        <tr r="D288" s="1"/>
      </tp>
      <tp t="s">
        <v>Vendedor</v>
        <stp/>
        <stp>T&amp;T1</stp>
        <stp>AGR</stp>
        <stp>281</stp>
        <tr r="J289" s="1"/>
      </tp>
      <tp t="s">
        <v>Comprador</v>
        <stp/>
        <stp>T&amp;T0</stp>
        <stp>AGR</stp>
        <stp>281</stp>
        <tr r="D289" s="1"/>
      </tp>
      <tp t="s">
        <v>Vendedor</v>
        <stp/>
        <stp>T&amp;T1</stp>
        <stp>AGR</stp>
        <stp>280</stp>
        <tr r="J288" s="1"/>
      </tp>
      <tp t="s">
        <v>Comprador</v>
        <stp/>
        <stp>T&amp;T0</stp>
        <stp>AGR</stp>
        <stp>288</stp>
        <tr r="D296" s="1"/>
      </tp>
      <tp t="s">
        <v>Vendedor</v>
        <stp/>
        <stp>T&amp;T1</stp>
        <stp>AGR</stp>
        <stp>289</stp>
        <tr r="J297" s="1"/>
      </tp>
      <tp t="s">
        <v>Comprador</v>
        <stp/>
        <stp>T&amp;T0</stp>
        <stp>AGR</stp>
        <stp>289</stp>
        <tr r="D297" s="1"/>
      </tp>
      <tp t="s">
        <v>Vendedor</v>
        <stp/>
        <stp>T&amp;T1</stp>
        <stp>AGR</stp>
        <stp>288</stp>
        <tr r="J296" s="1"/>
      </tp>
      <tp t="s">
        <v>Comprador</v>
        <stp/>
        <stp>T&amp;T0</stp>
        <stp>AGR</stp>
        <stp>236</stp>
        <tr r="D244" s="1"/>
      </tp>
      <tp t="s">
        <v>Vendedor</v>
        <stp/>
        <stp>T&amp;T1</stp>
        <stp>AGR</stp>
        <stp>237</stp>
        <tr r="J245" s="1"/>
      </tp>
      <tp t="s">
        <v>Comprador</v>
        <stp/>
        <stp>T&amp;T0</stp>
        <stp>AGR</stp>
        <stp>237</stp>
        <tr r="D245" s="1"/>
      </tp>
      <tp t="s">
        <v>Vendedor</v>
        <stp/>
        <stp>T&amp;T1</stp>
        <stp>AGR</stp>
        <stp>236</stp>
        <tr r="J244" s="1"/>
      </tp>
      <tp t="s">
        <v>Comprador</v>
        <stp/>
        <stp>T&amp;T0</stp>
        <stp>AGR</stp>
        <stp>234</stp>
        <tr r="D242" s="1"/>
      </tp>
      <tp t="s">
        <v>Vendedor</v>
        <stp/>
        <stp>T&amp;T1</stp>
        <stp>AGR</stp>
        <stp>235</stp>
        <tr r="J243" s="1"/>
      </tp>
      <tp t="s">
        <v>Comprador</v>
        <stp/>
        <stp>T&amp;T0</stp>
        <stp>AGR</stp>
        <stp>235</stp>
        <tr r="D243" s="1"/>
      </tp>
      <tp t="s">
        <v>Vendedor</v>
        <stp/>
        <stp>T&amp;T1</stp>
        <stp>AGR</stp>
        <stp>234</stp>
        <tr r="J242" s="1"/>
      </tp>
      <tp t="s">
        <v>Comprador</v>
        <stp/>
        <stp>T&amp;T0</stp>
        <stp>AGR</stp>
        <stp>232</stp>
        <tr r="D240" s="1"/>
      </tp>
      <tp t="s">
        <v>Vendedor</v>
        <stp/>
        <stp>T&amp;T1</stp>
        <stp>AGR</stp>
        <stp>233</stp>
        <tr r="J241" s="1"/>
      </tp>
      <tp t="s">
        <v>Comprador</v>
        <stp/>
        <stp>T&amp;T0</stp>
        <stp>AGR</stp>
        <stp>233</stp>
        <tr r="D241" s="1"/>
      </tp>
      <tp t="s">
        <v>Vendedor</v>
        <stp/>
        <stp>T&amp;T1</stp>
        <stp>AGR</stp>
        <stp>232</stp>
        <tr r="J240" s="1"/>
      </tp>
      <tp t="s">
        <v>Comprador</v>
        <stp/>
        <stp>T&amp;T0</stp>
        <stp>AGR</stp>
        <stp>230</stp>
        <tr r="D238" s="1"/>
      </tp>
      <tp t="s">
        <v>Vendedor</v>
        <stp/>
        <stp>T&amp;T1</stp>
        <stp>AGR</stp>
        <stp>231</stp>
        <tr r="J239" s="1"/>
      </tp>
      <tp t="s">
        <v>Comprador</v>
        <stp/>
        <stp>T&amp;T0</stp>
        <stp>AGR</stp>
        <stp>231</stp>
        <tr r="D239" s="1"/>
      </tp>
      <tp t="s">
        <v>Vendedor</v>
        <stp/>
        <stp>T&amp;T1</stp>
        <stp>AGR</stp>
        <stp>230</stp>
        <tr r="J238" s="1"/>
      </tp>
      <tp t="s">
        <v>Comprador</v>
        <stp/>
        <stp>T&amp;T0</stp>
        <stp>AGR</stp>
        <stp>238</stp>
        <tr r="D246" s="1"/>
      </tp>
      <tp t="s">
        <v>Vendedor</v>
        <stp/>
        <stp>T&amp;T1</stp>
        <stp>AGR</stp>
        <stp>239</stp>
        <tr r="J247" s="1"/>
      </tp>
      <tp t="s">
        <v>Comprador</v>
        <stp/>
        <stp>T&amp;T0</stp>
        <stp>AGR</stp>
        <stp>239</stp>
        <tr r="D247" s="1"/>
      </tp>
      <tp t="s">
        <v>Vendedor</v>
        <stp/>
        <stp>T&amp;T1</stp>
        <stp>AGR</stp>
        <stp>238</stp>
        <tr r="J246" s="1"/>
      </tp>
      <tp t="s">
        <v>Comprador</v>
        <stp/>
        <stp>T&amp;T0</stp>
        <stp>AGR</stp>
        <stp>226</stp>
        <tr r="D234" s="1"/>
      </tp>
      <tp t="s">
        <v>Vendedor</v>
        <stp/>
        <stp>T&amp;T1</stp>
        <stp>AGR</stp>
        <stp>227</stp>
        <tr r="J235" s="1"/>
      </tp>
      <tp t="s">
        <v>Comprador</v>
        <stp/>
        <stp>T&amp;T0</stp>
        <stp>AGR</stp>
        <stp>227</stp>
        <tr r="D235" s="1"/>
      </tp>
      <tp t="s">
        <v>Vendedor</v>
        <stp/>
        <stp>T&amp;T1</stp>
        <stp>AGR</stp>
        <stp>226</stp>
        <tr r="J234" s="1"/>
      </tp>
      <tp t="s">
        <v>Comprador</v>
        <stp/>
        <stp>T&amp;T0</stp>
        <stp>AGR</stp>
        <stp>224</stp>
        <tr r="D232" s="1"/>
      </tp>
      <tp t="s">
        <v>Vendedor</v>
        <stp/>
        <stp>T&amp;T1</stp>
        <stp>AGR</stp>
        <stp>225</stp>
        <tr r="J233" s="1"/>
      </tp>
      <tp t="s">
        <v>Comprador</v>
        <stp/>
        <stp>T&amp;T0</stp>
        <stp>AGR</stp>
        <stp>225</stp>
        <tr r="D233" s="1"/>
      </tp>
      <tp t="s">
        <v>Vendedor</v>
        <stp/>
        <stp>T&amp;T1</stp>
        <stp>AGR</stp>
        <stp>224</stp>
        <tr r="J232" s="1"/>
      </tp>
      <tp t="s">
        <v>Comprador</v>
        <stp/>
        <stp>T&amp;T0</stp>
        <stp>AGR</stp>
        <stp>222</stp>
        <tr r="D230" s="1"/>
      </tp>
      <tp t="s">
        <v>Vendedor</v>
        <stp/>
        <stp>T&amp;T1</stp>
        <stp>AGR</stp>
        <stp>223</stp>
        <tr r="J231" s="1"/>
      </tp>
      <tp t="s">
        <v>Comprador</v>
        <stp/>
        <stp>T&amp;T0</stp>
        <stp>AGR</stp>
        <stp>223</stp>
        <tr r="D231" s="1"/>
      </tp>
      <tp t="s">
        <v>Vendedor</v>
        <stp/>
        <stp>T&amp;T1</stp>
        <stp>AGR</stp>
        <stp>222</stp>
        <tr r="J230" s="1"/>
      </tp>
      <tp t="s">
        <v>Comprador</v>
        <stp/>
        <stp>T&amp;T0</stp>
        <stp>AGR</stp>
        <stp>220</stp>
        <tr r="D228" s="1"/>
      </tp>
      <tp t="s">
        <v>Vendedor</v>
        <stp/>
        <stp>T&amp;T1</stp>
        <stp>AGR</stp>
        <stp>221</stp>
        <tr r="J229" s="1"/>
      </tp>
      <tp t="s">
        <v>Comprador</v>
        <stp/>
        <stp>T&amp;T0</stp>
        <stp>AGR</stp>
        <stp>221</stp>
        <tr r="D229" s="1"/>
      </tp>
      <tp t="s">
        <v>Vendedor</v>
        <stp/>
        <stp>T&amp;T1</stp>
        <stp>AGR</stp>
        <stp>220</stp>
        <tr r="J228" s="1"/>
      </tp>
      <tp t="s">
        <v>Comprador</v>
        <stp/>
        <stp>T&amp;T0</stp>
        <stp>AGR</stp>
        <stp>228</stp>
        <tr r="D236" s="1"/>
      </tp>
      <tp t="s">
        <v>Vendedor</v>
        <stp/>
        <stp>T&amp;T1</stp>
        <stp>AGR</stp>
        <stp>229</stp>
        <tr r="J237" s="1"/>
      </tp>
      <tp t="s">
        <v>Comprador</v>
        <stp/>
        <stp>T&amp;T0</stp>
        <stp>AGR</stp>
        <stp>229</stp>
        <tr r="D237" s="1"/>
      </tp>
      <tp t="s">
        <v>Vendedor</v>
        <stp/>
        <stp>T&amp;T1</stp>
        <stp>AGR</stp>
        <stp>228</stp>
        <tr r="J236" s="1"/>
      </tp>
      <tp t="s">
        <v>Comprador</v>
        <stp/>
        <stp>T&amp;T0</stp>
        <stp>AGR</stp>
        <stp>216</stp>
        <tr r="D224" s="1"/>
      </tp>
      <tp t="s">
        <v>Vendedor</v>
        <stp/>
        <stp>T&amp;T1</stp>
        <stp>AGR</stp>
        <stp>217</stp>
        <tr r="J225" s="1"/>
      </tp>
      <tp t="s">
        <v>Comprador</v>
        <stp/>
        <stp>T&amp;T0</stp>
        <stp>AGR</stp>
        <stp>217</stp>
        <tr r="D225" s="1"/>
      </tp>
      <tp t="s">
        <v>Vendedor</v>
        <stp/>
        <stp>T&amp;T1</stp>
        <stp>AGR</stp>
        <stp>216</stp>
        <tr r="J224" s="1"/>
      </tp>
      <tp t="s">
        <v>Comprador</v>
        <stp/>
        <stp>T&amp;T0</stp>
        <stp>AGR</stp>
        <stp>214</stp>
        <tr r="D222" s="1"/>
      </tp>
      <tp t="s">
        <v>Vendedor</v>
        <stp/>
        <stp>T&amp;T1</stp>
        <stp>AGR</stp>
        <stp>215</stp>
        <tr r="J223" s="1"/>
      </tp>
      <tp t="s">
        <v>Comprador</v>
        <stp/>
        <stp>T&amp;T0</stp>
        <stp>AGR</stp>
        <stp>215</stp>
        <tr r="D223" s="1"/>
      </tp>
      <tp t="s">
        <v>Vendedor</v>
        <stp/>
        <stp>T&amp;T1</stp>
        <stp>AGR</stp>
        <stp>214</stp>
        <tr r="J222" s="1"/>
      </tp>
      <tp t="s">
        <v>Comprador</v>
        <stp/>
        <stp>T&amp;T0</stp>
        <stp>AGR</stp>
        <stp>212</stp>
        <tr r="D220" s="1"/>
      </tp>
      <tp t="s">
        <v>Vendedor</v>
        <stp/>
        <stp>T&amp;T1</stp>
        <stp>AGR</stp>
        <stp>213</stp>
        <tr r="J221" s="1"/>
      </tp>
      <tp t="s">
        <v>Comprador</v>
        <stp/>
        <stp>T&amp;T0</stp>
        <stp>AGR</stp>
        <stp>213</stp>
        <tr r="D221" s="1"/>
      </tp>
      <tp t="s">
        <v>Vendedor</v>
        <stp/>
        <stp>T&amp;T1</stp>
        <stp>AGR</stp>
        <stp>212</stp>
        <tr r="J220" s="1"/>
      </tp>
      <tp t="s">
        <v>Comprador</v>
        <stp/>
        <stp>T&amp;T0</stp>
        <stp>AGR</stp>
        <stp>210</stp>
        <tr r="D218" s="1"/>
      </tp>
      <tp t="s">
        <v>Vendedor</v>
        <stp/>
        <stp>T&amp;T1</stp>
        <stp>AGR</stp>
        <stp>211</stp>
        <tr r="J219" s="1"/>
      </tp>
      <tp t="s">
        <v>Comprador</v>
        <stp/>
        <stp>T&amp;T0</stp>
        <stp>AGR</stp>
        <stp>211</stp>
        <tr r="D219" s="1"/>
      </tp>
      <tp t="s">
        <v>Vendedor</v>
        <stp/>
        <stp>T&amp;T1</stp>
        <stp>AGR</stp>
        <stp>210</stp>
        <tr r="J218" s="1"/>
      </tp>
      <tp t="s">
        <v>Comprador</v>
        <stp/>
        <stp>T&amp;T0</stp>
        <stp>AGR</stp>
        <stp>218</stp>
        <tr r="D226" s="1"/>
      </tp>
      <tp t="s">
        <v>Vendedor</v>
        <stp/>
        <stp>T&amp;T1</stp>
        <stp>AGR</stp>
        <stp>219</stp>
        <tr r="J227" s="1"/>
      </tp>
      <tp t="s">
        <v>Comprador</v>
        <stp/>
        <stp>T&amp;T0</stp>
        <stp>AGR</stp>
        <stp>219</stp>
        <tr r="D227" s="1"/>
      </tp>
      <tp t="s">
        <v>Vendedor</v>
        <stp/>
        <stp>T&amp;T1</stp>
        <stp>AGR</stp>
        <stp>218</stp>
        <tr r="J226" s="1"/>
      </tp>
      <tp t="s">
        <v>Comprador</v>
        <stp/>
        <stp>T&amp;T0</stp>
        <stp>AGR</stp>
        <stp>206</stp>
        <tr r="D214" s="1"/>
      </tp>
      <tp t="s">
        <v>Vendedor</v>
        <stp/>
        <stp>T&amp;T1</stp>
        <stp>AGR</stp>
        <stp>207</stp>
        <tr r="J215" s="1"/>
      </tp>
      <tp t="s">
        <v>Comprador</v>
        <stp/>
        <stp>T&amp;T0</stp>
        <stp>AGR</stp>
        <stp>207</stp>
        <tr r="D215" s="1"/>
      </tp>
      <tp t="s">
        <v>Vendedor</v>
        <stp/>
        <stp>T&amp;T1</stp>
        <stp>AGR</stp>
        <stp>206</stp>
        <tr r="J214" s="1"/>
      </tp>
      <tp t="s">
        <v>Comprador</v>
        <stp/>
        <stp>T&amp;T0</stp>
        <stp>AGR</stp>
        <stp>204</stp>
        <tr r="D212" s="1"/>
      </tp>
      <tp t="s">
        <v>Vendedor</v>
        <stp/>
        <stp>T&amp;T1</stp>
        <stp>AGR</stp>
        <stp>205</stp>
        <tr r="J213" s="1"/>
      </tp>
      <tp t="s">
        <v>Comprador</v>
        <stp/>
        <stp>T&amp;T0</stp>
        <stp>AGR</stp>
        <stp>205</stp>
        <tr r="D213" s="1"/>
      </tp>
      <tp t="s">
        <v>Vendedor</v>
        <stp/>
        <stp>T&amp;T1</stp>
        <stp>AGR</stp>
        <stp>204</stp>
        <tr r="J212" s="1"/>
      </tp>
      <tp t="s">
        <v>Comprador</v>
        <stp/>
        <stp>T&amp;T0</stp>
        <stp>AGR</stp>
        <stp>202</stp>
        <tr r="D210" s="1"/>
      </tp>
      <tp t="s">
        <v>Vendedor</v>
        <stp/>
        <stp>T&amp;T1</stp>
        <stp>AGR</stp>
        <stp>203</stp>
        <tr r="J211" s="1"/>
      </tp>
      <tp t="s">
        <v>Comprador</v>
        <stp/>
        <stp>T&amp;T0</stp>
        <stp>AGR</stp>
        <stp>203</stp>
        <tr r="D211" s="1"/>
      </tp>
      <tp t="s">
        <v>Vendedor</v>
        <stp/>
        <stp>T&amp;T1</stp>
        <stp>AGR</stp>
        <stp>202</stp>
        <tr r="J210" s="1"/>
      </tp>
      <tp t="s">
        <v>Comprador</v>
        <stp/>
        <stp>T&amp;T0</stp>
        <stp>AGR</stp>
        <stp>200</stp>
        <tr r="D208" s="1"/>
      </tp>
      <tp t="s">
        <v>Vendedor</v>
        <stp/>
        <stp>T&amp;T1</stp>
        <stp>AGR</stp>
        <stp>201</stp>
        <tr r="J209" s="1"/>
      </tp>
      <tp t="s">
        <v>Comprador</v>
        <stp/>
        <stp>T&amp;T0</stp>
        <stp>AGR</stp>
        <stp>201</stp>
        <tr r="D209" s="1"/>
      </tp>
      <tp t="s">
        <v>Vendedor</v>
        <stp/>
        <stp>T&amp;T1</stp>
        <stp>AGR</stp>
        <stp>200</stp>
        <tr r="J208" s="1"/>
      </tp>
      <tp t="s">
        <v>Comprador</v>
        <stp/>
        <stp>T&amp;T0</stp>
        <stp>AGR</stp>
        <stp>208</stp>
        <tr r="D216" s="1"/>
      </tp>
      <tp t="s">
        <v>Vendedor</v>
        <stp/>
        <stp>T&amp;T1</stp>
        <stp>AGR</stp>
        <stp>209</stp>
        <tr r="J217" s="1"/>
      </tp>
      <tp t="s">
        <v>Comprador</v>
        <stp/>
        <stp>T&amp;T0</stp>
        <stp>AGR</stp>
        <stp>209</stp>
        <tr r="D217" s="1"/>
      </tp>
      <tp t="s">
        <v>Vendedor</v>
        <stp/>
        <stp>T&amp;T1</stp>
        <stp>AGR</stp>
        <stp>208</stp>
        <tr r="J216" s="1"/>
      </tp>
      <tp t="s">
        <v>Comprador</v>
        <stp/>
        <stp>T&amp;T0</stp>
        <stp>AGR</stp>
        <stp>276</stp>
        <tr r="D284" s="1"/>
      </tp>
      <tp t="s">
        <v>Vendedor</v>
        <stp/>
        <stp>T&amp;T1</stp>
        <stp>AGR</stp>
        <stp>277</stp>
        <tr r="J285" s="1"/>
      </tp>
      <tp t="s">
        <v>Comprador</v>
        <stp/>
        <stp>T&amp;T0</stp>
        <stp>AGR</stp>
        <stp>277</stp>
        <tr r="D285" s="1"/>
      </tp>
      <tp t="s">
        <v>Vendedor</v>
        <stp/>
        <stp>T&amp;T1</stp>
        <stp>AGR</stp>
        <stp>276</stp>
        <tr r="J284" s="1"/>
      </tp>
      <tp t="s">
        <v>Comprador</v>
        <stp/>
        <stp>T&amp;T0</stp>
        <stp>AGR</stp>
        <stp>274</stp>
        <tr r="D282" s="1"/>
      </tp>
      <tp t="s">
        <v>Vendedor</v>
        <stp/>
        <stp>T&amp;T1</stp>
        <stp>AGR</stp>
        <stp>275</stp>
        <tr r="J283" s="1"/>
      </tp>
      <tp t="s">
        <v>Comprador</v>
        <stp/>
        <stp>T&amp;T0</stp>
        <stp>AGR</stp>
        <stp>275</stp>
        <tr r="D283" s="1"/>
      </tp>
      <tp t="s">
        <v>Vendedor</v>
        <stp/>
        <stp>T&amp;T1</stp>
        <stp>AGR</stp>
        <stp>274</stp>
        <tr r="J282" s="1"/>
      </tp>
      <tp t="s">
        <v>Comprador</v>
        <stp/>
        <stp>T&amp;T0</stp>
        <stp>AGR</stp>
        <stp>272</stp>
        <tr r="D280" s="1"/>
      </tp>
      <tp t="s">
        <v>Vendedor</v>
        <stp/>
        <stp>T&amp;T1</stp>
        <stp>AGR</stp>
        <stp>273</stp>
        <tr r="J281" s="1"/>
      </tp>
      <tp t="s">
        <v>Comprador</v>
        <stp/>
        <stp>T&amp;T0</stp>
        <stp>AGR</stp>
        <stp>273</stp>
        <tr r="D281" s="1"/>
      </tp>
      <tp t="s">
        <v>Vendedor</v>
        <stp/>
        <stp>T&amp;T1</stp>
        <stp>AGR</stp>
        <stp>272</stp>
        <tr r="J280" s="1"/>
      </tp>
      <tp t="s">
        <v>Comprador</v>
        <stp/>
        <stp>T&amp;T0</stp>
        <stp>AGR</stp>
        <stp>270</stp>
        <tr r="D278" s="1"/>
      </tp>
      <tp t="s">
        <v>Vendedor</v>
        <stp/>
        <stp>T&amp;T1</stp>
        <stp>AGR</stp>
        <stp>271</stp>
        <tr r="J279" s="1"/>
      </tp>
      <tp t="s">
        <v>Comprador</v>
        <stp/>
        <stp>T&amp;T0</stp>
        <stp>AGR</stp>
        <stp>271</stp>
        <tr r="D279" s="1"/>
      </tp>
      <tp t="s">
        <v>Vendedor</v>
        <stp/>
        <stp>T&amp;T1</stp>
        <stp>AGR</stp>
        <stp>270</stp>
        <tr r="J278" s="1"/>
      </tp>
      <tp t="s">
        <v>Comprador</v>
        <stp/>
        <stp>T&amp;T0</stp>
        <stp>AGR</stp>
        <stp>278</stp>
        <tr r="D286" s="1"/>
      </tp>
      <tp t="s">
        <v>Vendedor</v>
        <stp/>
        <stp>T&amp;T1</stp>
        <stp>AGR</stp>
        <stp>279</stp>
        <tr r="J287" s="1"/>
      </tp>
      <tp t="s">
        <v>Comprador</v>
        <stp/>
        <stp>T&amp;T0</stp>
        <stp>AGR</stp>
        <stp>279</stp>
        <tr r="D287" s="1"/>
      </tp>
      <tp t="s">
        <v>Vendedor</v>
        <stp/>
        <stp>T&amp;T1</stp>
        <stp>AGR</stp>
        <stp>278</stp>
        <tr r="J286" s="1"/>
      </tp>
      <tp t="s">
        <v>Comprador</v>
        <stp/>
        <stp>T&amp;T0</stp>
        <stp>AGR</stp>
        <stp>266</stp>
        <tr r="D274" s="1"/>
      </tp>
      <tp t="s">
        <v>Vendedor</v>
        <stp/>
        <stp>T&amp;T1</stp>
        <stp>AGR</stp>
        <stp>267</stp>
        <tr r="J275" s="1"/>
      </tp>
      <tp t="s">
        <v>Comprador</v>
        <stp/>
        <stp>T&amp;T0</stp>
        <stp>AGR</stp>
        <stp>267</stp>
        <tr r="D275" s="1"/>
      </tp>
      <tp t="s">
        <v>Vendedor</v>
        <stp/>
        <stp>T&amp;T1</stp>
        <stp>AGR</stp>
        <stp>266</stp>
        <tr r="J274" s="1"/>
      </tp>
      <tp t="s">
        <v>Comprador</v>
        <stp/>
        <stp>T&amp;T0</stp>
        <stp>AGR</stp>
        <stp>264</stp>
        <tr r="D272" s="1"/>
      </tp>
      <tp t="s">
        <v>Vendedor</v>
        <stp/>
        <stp>T&amp;T1</stp>
        <stp>AGR</stp>
        <stp>265</stp>
        <tr r="J273" s="1"/>
      </tp>
      <tp t="s">
        <v>Comprador</v>
        <stp/>
        <stp>T&amp;T0</stp>
        <stp>AGR</stp>
        <stp>265</stp>
        <tr r="D273" s="1"/>
      </tp>
      <tp t="s">
        <v>Vendedor</v>
        <stp/>
        <stp>T&amp;T1</stp>
        <stp>AGR</stp>
        <stp>264</stp>
        <tr r="J272" s="1"/>
      </tp>
      <tp t="s">
        <v>Comprador</v>
        <stp/>
        <stp>T&amp;T0</stp>
        <stp>AGR</stp>
        <stp>262</stp>
        <tr r="D270" s="1"/>
      </tp>
      <tp t="s">
        <v>Vendedor</v>
        <stp/>
        <stp>T&amp;T1</stp>
        <stp>AGR</stp>
        <stp>263</stp>
        <tr r="J271" s="1"/>
      </tp>
      <tp t="s">
        <v>Comprador</v>
        <stp/>
        <stp>T&amp;T0</stp>
        <stp>AGR</stp>
        <stp>263</stp>
        <tr r="D271" s="1"/>
      </tp>
      <tp t="s">
        <v>Vendedor</v>
        <stp/>
        <stp>T&amp;T1</stp>
        <stp>AGR</stp>
        <stp>262</stp>
        <tr r="J270" s="1"/>
      </tp>
      <tp t="s">
        <v>Comprador</v>
        <stp/>
        <stp>T&amp;T0</stp>
        <stp>AGR</stp>
        <stp>260</stp>
        <tr r="D268" s="1"/>
      </tp>
      <tp t="s">
        <v>Vendedor</v>
        <stp/>
        <stp>T&amp;T1</stp>
        <stp>AGR</stp>
        <stp>261</stp>
        <tr r="J269" s="1"/>
      </tp>
      <tp t="s">
        <v>Comprador</v>
        <stp/>
        <stp>T&amp;T0</stp>
        <stp>AGR</stp>
        <stp>261</stp>
        <tr r="D269" s="1"/>
      </tp>
      <tp t="s">
        <v>Vendedor</v>
        <stp/>
        <stp>T&amp;T1</stp>
        <stp>AGR</stp>
        <stp>260</stp>
        <tr r="J268" s="1"/>
      </tp>
      <tp t="s">
        <v>Comprador</v>
        <stp/>
        <stp>T&amp;T0</stp>
        <stp>AGR</stp>
        <stp>268</stp>
        <tr r="D276" s="1"/>
      </tp>
      <tp t="s">
        <v>Vendedor</v>
        <stp/>
        <stp>T&amp;T1</stp>
        <stp>AGR</stp>
        <stp>269</stp>
        <tr r="J277" s="1"/>
      </tp>
      <tp t="s">
        <v>Comprador</v>
        <stp/>
        <stp>T&amp;T0</stp>
        <stp>AGR</stp>
        <stp>269</stp>
        <tr r="D277" s="1"/>
      </tp>
      <tp t="s">
        <v>Vendedor</v>
        <stp/>
        <stp>T&amp;T1</stp>
        <stp>AGR</stp>
        <stp>268</stp>
        <tr r="J276" s="1"/>
      </tp>
      <tp t="s">
        <v>Comprador</v>
        <stp/>
        <stp>T&amp;T0</stp>
        <stp>AGR</stp>
        <stp>256</stp>
        <tr r="D264" s="1"/>
      </tp>
      <tp t="s">
        <v>Vendedor</v>
        <stp/>
        <stp>T&amp;T1</stp>
        <stp>AGR</stp>
        <stp>257</stp>
        <tr r="J265" s="1"/>
      </tp>
      <tp t="s">
        <v>Comprador</v>
        <stp/>
        <stp>T&amp;T0</stp>
        <stp>AGR</stp>
        <stp>257</stp>
        <tr r="D265" s="1"/>
      </tp>
      <tp t="s">
        <v>Vendedor</v>
        <stp/>
        <stp>T&amp;T1</stp>
        <stp>AGR</stp>
        <stp>256</stp>
        <tr r="J264" s="1"/>
      </tp>
      <tp t="s">
        <v>Comprador</v>
        <stp/>
        <stp>T&amp;T0</stp>
        <stp>AGR</stp>
        <stp>254</stp>
        <tr r="D262" s="1"/>
      </tp>
      <tp t="s">
        <v>Vendedor</v>
        <stp/>
        <stp>T&amp;T1</stp>
        <stp>AGR</stp>
        <stp>255</stp>
        <tr r="J263" s="1"/>
      </tp>
      <tp t="s">
        <v>Comprador</v>
        <stp/>
        <stp>T&amp;T0</stp>
        <stp>AGR</stp>
        <stp>255</stp>
        <tr r="D263" s="1"/>
      </tp>
      <tp t="s">
        <v>Vendedor</v>
        <stp/>
        <stp>T&amp;T1</stp>
        <stp>AGR</stp>
        <stp>254</stp>
        <tr r="J262" s="1"/>
      </tp>
      <tp t="s">
        <v>Comprador</v>
        <stp/>
        <stp>T&amp;T0</stp>
        <stp>AGR</stp>
        <stp>252</stp>
        <tr r="D260" s="1"/>
      </tp>
      <tp t="s">
        <v>Vendedor</v>
        <stp/>
        <stp>T&amp;T1</stp>
        <stp>AGR</stp>
        <stp>253</stp>
        <tr r="J261" s="1"/>
      </tp>
      <tp t="s">
        <v>Comprador</v>
        <stp/>
        <stp>T&amp;T0</stp>
        <stp>AGR</stp>
        <stp>253</stp>
        <tr r="D261" s="1"/>
      </tp>
      <tp t="s">
        <v>Vendedor</v>
        <stp/>
        <stp>T&amp;T1</stp>
        <stp>AGR</stp>
        <stp>252</stp>
        <tr r="J260" s="1"/>
      </tp>
      <tp t="s">
        <v>Comprador</v>
        <stp/>
        <stp>T&amp;T0</stp>
        <stp>AGR</stp>
        <stp>250</stp>
        <tr r="D258" s="1"/>
      </tp>
      <tp t="s">
        <v>Vendedor</v>
        <stp/>
        <stp>T&amp;T1</stp>
        <stp>AGR</stp>
        <stp>251</stp>
        <tr r="J259" s="1"/>
      </tp>
      <tp t="s">
        <v>Comprador</v>
        <stp/>
        <stp>T&amp;T0</stp>
        <stp>AGR</stp>
        <stp>251</stp>
        <tr r="D259" s="1"/>
      </tp>
      <tp t="s">
        <v>Vendedor</v>
        <stp/>
        <stp>T&amp;T1</stp>
        <stp>AGR</stp>
        <stp>250</stp>
        <tr r="J258" s="1"/>
      </tp>
      <tp t="s">
        <v>Comprador</v>
        <stp/>
        <stp>T&amp;T0</stp>
        <stp>AGR</stp>
        <stp>258</stp>
        <tr r="D266" s="1"/>
      </tp>
      <tp t="s">
        <v>Vendedor</v>
        <stp/>
        <stp>T&amp;T1</stp>
        <stp>AGR</stp>
        <stp>259</stp>
        <tr r="J267" s="1"/>
      </tp>
      <tp t="s">
        <v>Comprador</v>
        <stp/>
        <stp>T&amp;T0</stp>
        <stp>AGR</stp>
        <stp>259</stp>
        <tr r="D267" s="1"/>
      </tp>
      <tp t="s">
        <v>Vendedor</v>
        <stp/>
        <stp>T&amp;T1</stp>
        <stp>AGR</stp>
        <stp>258</stp>
        <tr r="J266" s="1"/>
      </tp>
      <tp t="s">
        <v>Comprador</v>
        <stp/>
        <stp>T&amp;T0</stp>
        <stp>AGR</stp>
        <stp>246</stp>
        <tr r="D254" s="1"/>
      </tp>
      <tp t="s">
        <v>Vendedor</v>
        <stp/>
        <stp>T&amp;T1</stp>
        <stp>AGR</stp>
        <stp>247</stp>
        <tr r="J255" s="1"/>
      </tp>
      <tp t="s">
        <v>Comprador</v>
        <stp/>
        <stp>T&amp;T0</stp>
        <stp>AGR</stp>
        <stp>247</stp>
        <tr r="D255" s="1"/>
      </tp>
      <tp t="s">
        <v>Vendedor</v>
        <stp/>
        <stp>T&amp;T1</stp>
        <stp>AGR</stp>
        <stp>246</stp>
        <tr r="J254" s="1"/>
      </tp>
      <tp t="s">
        <v>Comprador</v>
        <stp/>
        <stp>T&amp;T0</stp>
        <stp>AGR</stp>
        <stp>244</stp>
        <tr r="D252" s="1"/>
      </tp>
      <tp t="s">
        <v>Vendedor</v>
        <stp/>
        <stp>T&amp;T1</stp>
        <stp>AGR</stp>
        <stp>245</stp>
        <tr r="J253" s="1"/>
      </tp>
      <tp t="s">
        <v>Comprador</v>
        <stp/>
        <stp>T&amp;T0</stp>
        <stp>AGR</stp>
        <stp>245</stp>
        <tr r="D253" s="1"/>
      </tp>
      <tp t="s">
        <v>Vendedor</v>
        <stp/>
        <stp>T&amp;T1</stp>
        <stp>AGR</stp>
        <stp>244</stp>
        <tr r="J252" s="1"/>
      </tp>
      <tp t="s">
        <v>Comprador</v>
        <stp/>
        <stp>T&amp;T0</stp>
        <stp>AGR</stp>
        <stp>242</stp>
        <tr r="D250" s="1"/>
      </tp>
      <tp t="s">
        <v>Vendedor</v>
        <stp/>
        <stp>T&amp;T1</stp>
        <stp>AGR</stp>
        <stp>243</stp>
        <tr r="J251" s="1"/>
      </tp>
      <tp t="s">
        <v>Comprador</v>
        <stp/>
        <stp>T&amp;T0</stp>
        <stp>AGR</stp>
        <stp>243</stp>
        <tr r="D251" s="1"/>
      </tp>
      <tp t="s">
        <v>Vendedor</v>
        <stp/>
        <stp>T&amp;T1</stp>
        <stp>AGR</stp>
        <stp>242</stp>
        <tr r="J250" s="1"/>
      </tp>
      <tp t="s">
        <v>Comprador</v>
        <stp/>
        <stp>T&amp;T0</stp>
        <stp>AGR</stp>
        <stp>240</stp>
        <tr r="D248" s="1"/>
      </tp>
      <tp t="s">
        <v>Vendedor</v>
        <stp/>
        <stp>T&amp;T1</stp>
        <stp>AGR</stp>
        <stp>241</stp>
        <tr r="J249" s="1"/>
      </tp>
      <tp t="s">
        <v>Comprador</v>
        <stp/>
        <stp>T&amp;T0</stp>
        <stp>AGR</stp>
        <stp>241</stp>
        <tr r="D249" s="1"/>
      </tp>
      <tp t="s">
        <v>Vendedor</v>
        <stp/>
        <stp>T&amp;T1</stp>
        <stp>AGR</stp>
        <stp>240</stp>
        <tr r="J248" s="1"/>
      </tp>
      <tp t="s">
        <v>Comprador</v>
        <stp/>
        <stp>T&amp;T0</stp>
        <stp>AGR</stp>
        <stp>248</stp>
        <tr r="D256" s="1"/>
      </tp>
      <tp t="s">
        <v>Vendedor</v>
        <stp/>
        <stp>T&amp;T1</stp>
        <stp>AGR</stp>
        <stp>249</stp>
        <tr r="J257" s="1"/>
      </tp>
      <tp t="s">
        <v>Comprador</v>
        <stp/>
        <stp>T&amp;T0</stp>
        <stp>AGR</stp>
        <stp>249</stp>
        <tr r="D257" s="1"/>
      </tp>
      <tp t="s">
        <v>Vendedor</v>
        <stp/>
        <stp>T&amp;T1</stp>
        <stp>AGR</stp>
        <stp>248</stp>
        <tr r="J256" s="1"/>
      </tp>
      <tp t="s">
        <v>Comprador</v>
        <stp/>
        <stp>T&amp;T0</stp>
        <stp>AGR</stp>
        <stp>196</stp>
        <tr r="D204" s="1"/>
      </tp>
      <tp t="s">
        <v>Vendedor</v>
        <stp/>
        <stp>T&amp;T1</stp>
        <stp>AGR</stp>
        <stp>197</stp>
        <tr r="J205" s="1"/>
      </tp>
      <tp t="s">
        <v>Comprador</v>
        <stp/>
        <stp>T&amp;T0</stp>
        <stp>AGR</stp>
        <stp>197</stp>
        <tr r="D205" s="1"/>
      </tp>
      <tp t="s">
        <v>Vendedor</v>
        <stp/>
        <stp>T&amp;T1</stp>
        <stp>AGR</stp>
        <stp>196</stp>
        <tr r="J204" s="1"/>
      </tp>
      <tp t="s">
        <v>Comprador</v>
        <stp/>
        <stp>T&amp;T0</stp>
        <stp>AGR</stp>
        <stp>194</stp>
        <tr r="D202" s="1"/>
      </tp>
      <tp t="s">
        <v>Vendedor</v>
        <stp/>
        <stp>T&amp;T1</stp>
        <stp>AGR</stp>
        <stp>195</stp>
        <tr r="J203" s="1"/>
      </tp>
      <tp t="s">
        <v>Comprador</v>
        <stp/>
        <stp>T&amp;T0</stp>
        <stp>AGR</stp>
        <stp>195</stp>
        <tr r="D203" s="1"/>
      </tp>
      <tp t="s">
        <v>Vendedor</v>
        <stp/>
        <stp>T&amp;T1</stp>
        <stp>AGR</stp>
        <stp>194</stp>
        <tr r="J202" s="1"/>
      </tp>
      <tp t="s">
        <v>Comprador</v>
        <stp/>
        <stp>T&amp;T0</stp>
        <stp>AGR</stp>
        <stp>192</stp>
        <tr r="D200" s="1"/>
      </tp>
      <tp t="s">
        <v>Vendedor</v>
        <stp/>
        <stp>T&amp;T1</stp>
        <stp>AGR</stp>
        <stp>193</stp>
        <tr r="J201" s="1"/>
      </tp>
      <tp t="s">
        <v>Comprador</v>
        <stp/>
        <stp>T&amp;T0</stp>
        <stp>AGR</stp>
        <stp>193</stp>
        <tr r="D201" s="1"/>
      </tp>
      <tp t="s">
        <v>Vendedor</v>
        <stp/>
        <stp>T&amp;T1</stp>
        <stp>AGR</stp>
        <stp>192</stp>
        <tr r="J200" s="1"/>
      </tp>
      <tp t="s">
        <v>Comprador</v>
        <stp/>
        <stp>T&amp;T0</stp>
        <stp>AGR</stp>
        <stp>190</stp>
        <tr r="D198" s="1"/>
      </tp>
      <tp t="s">
        <v>Vendedor</v>
        <stp/>
        <stp>T&amp;T1</stp>
        <stp>AGR</stp>
        <stp>191</stp>
        <tr r="J199" s="1"/>
      </tp>
      <tp t="s">
        <v>Comprador</v>
        <stp/>
        <stp>T&amp;T0</stp>
        <stp>AGR</stp>
        <stp>191</stp>
        <tr r="D199" s="1"/>
      </tp>
      <tp t="s">
        <v>Vendedor</v>
        <stp/>
        <stp>T&amp;T1</stp>
        <stp>AGR</stp>
        <stp>190</stp>
        <tr r="J198" s="1"/>
      </tp>
      <tp t="s">
        <v>Comprador</v>
        <stp/>
        <stp>T&amp;T0</stp>
        <stp>AGR</stp>
        <stp>198</stp>
        <tr r="D206" s="1"/>
      </tp>
      <tp t="s">
        <v>Vendedor</v>
        <stp/>
        <stp>T&amp;T1</stp>
        <stp>AGR</stp>
        <stp>199</stp>
        <tr r="J207" s="1"/>
      </tp>
      <tp t="s">
        <v>Comprador</v>
        <stp/>
        <stp>T&amp;T0</stp>
        <stp>AGR</stp>
        <stp>199</stp>
        <tr r="D207" s="1"/>
      </tp>
      <tp t="s">
        <v>Vendedor</v>
        <stp/>
        <stp>T&amp;T1</stp>
        <stp>AGR</stp>
        <stp>198</stp>
        <tr r="J206" s="1"/>
      </tp>
      <tp t="s">
        <v>Comprador</v>
        <stp/>
        <stp>T&amp;T0</stp>
        <stp>AGR</stp>
        <stp>186</stp>
        <tr r="D194" s="1"/>
      </tp>
      <tp t="s">
        <v>Vendedor</v>
        <stp/>
        <stp>T&amp;T1</stp>
        <stp>AGR</stp>
        <stp>187</stp>
        <tr r="J195" s="1"/>
      </tp>
      <tp t="s">
        <v>Comprador</v>
        <stp/>
        <stp>T&amp;T0</stp>
        <stp>AGR</stp>
        <stp>187</stp>
        <tr r="D195" s="1"/>
      </tp>
      <tp t="s">
        <v>Vendedor</v>
        <stp/>
        <stp>T&amp;T1</stp>
        <stp>AGR</stp>
        <stp>186</stp>
        <tr r="J194" s="1"/>
      </tp>
      <tp t="s">
        <v>Comprador</v>
        <stp/>
        <stp>T&amp;T0</stp>
        <stp>AGR</stp>
        <stp>184</stp>
        <tr r="D192" s="1"/>
      </tp>
      <tp t="s">
        <v>Vendedor</v>
        <stp/>
        <stp>T&amp;T1</stp>
        <stp>AGR</stp>
        <stp>185</stp>
        <tr r="J193" s="1"/>
      </tp>
      <tp t="s">
        <v>Comprador</v>
        <stp/>
        <stp>T&amp;T0</stp>
        <stp>AGR</stp>
        <stp>185</stp>
        <tr r="D193" s="1"/>
      </tp>
      <tp t="s">
        <v>Vendedor</v>
        <stp/>
        <stp>T&amp;T1</stp>
        <stp>AGR</stp>
        <stp>184</stp>
        <tr r="J192" s="1"/>
      </tp>
      <tp t="s">
        <v>Comprador</v>
        <stp/>
        <stp>T&amp;T0</stp>
        <stp>AGR</stp>
        <stp>182</stp>
        <tr r="D190" s="1"/>
      </tp>
      <tp t="s">
        <v>Vendedor</v>
        <stp/>
        <stp>T&amp;T1</stp>
        <stp>AGR</stp>
        <stp>183</stp>
        <tr r="J191" s="1"/>
      </tp>
      <tp t="s">
        <v>Comprador</v>
        <stp/>
        <stp>T&amp;T0</stp>
        <stp>AGR</stp>
        <stp>183</stp>
        <tr r="D191" s="1"/>
      </tp>
      <tp t="s">
        <v>Vendedor</v>
        <stp/>
        <stp>T&amp;T1</stp>
        <stp>AGR</stp>
        <stp>182</stp>
        <tr r="J190" s="1"/>
      </tp>
      <tp t="s">
        <v>Comprador</v>
        <stp/>
        <stp>T&amp;T0</stp>
        <stp>AGR</stp>
        <stp>180</stp>
        <tr r="D188" s="1"/>
      </tp>
      <tp t="s">
        <v>Vendedor</v>
        <stp/>
        <stp>T&amp;T1</stp>
        <stp>AGR</stp>
        <stp>181</stp>
        <tr r="J189" s="1"/>
      </tp>
      <tp t="s">
        <v>Comprador</v>
        <stp/>
        <stp>T&amp;T0</stp>
        <stp>AGR</stp>
        <stp>181</stp>
        <tr r="D189" s="1"/>
      </tp>
      <tp t="s">
        <v>Vendedor</v>
        <stp/>
        <stp>T&amp;T1</stp>
        <stp>AGR</stp>
        <stp>180</stp>
        <tr r="J188" s="1"/>
      </tp>
      <tp t="s">
        <v>Comprador</v>
        <stp/>
        <stp>T&amp;T0</stp>
        <stp>AGR</stp>
        <stp>188</stp>
        <tr r="D196" s="1"/>
      </tp>
      <tp t="s">
        <v>Vendedor</v>
        <stp/>
        <stp>T&amp;T1</stp>
        <stp>AGR</stp>
        <stp>189</stp>
        <tr r="J197" s="1"/>
      </tp>
      <tp t="s">
        <v>Comprador</v>
        <stp/>
        <stp>T&amp;T0</stp>
        <stp>AGR</stp>
        <stp>189</stp>
        <tr r="D197" s="1"/>
      </tp>
      <tp t="s">
        <v>Vendedor</v>
        <stp/>
        <stp>T&amp;T1</stp>
        <stp>AGR</stp>
        <stp>188</stp>
        <tr r="J196" s="1"/>
      </tp>
      <tp t="s">
        <v>19:02:36.336</v>
        <stp/>
        <stp>T&amp;T0</stp>
        <stp>DAT</stp>
        <stp>490</stp>
        <tr r="A498" s="1"/>
      </tp>
      <tp t="s">
        <v>19:03:15.102</v>
        <stp/>
        <stp>T&amp;T1</stp>
        <stp>DAT</stp>
        <stp>491</stp>
        <tr r="G499" s="1"/>
      </tp>
      <tp t="s">
        <v>19:02:33.904</v>
        <stp/>
        <stp>T&amp;T0</stp>
        <stp>DAT</stp>
        <stp>491</stp>
        <tr r="A499" s="1"/>
      </tp>
      <tp t="s">
        <v>19:03:15.863</v>
        <stp/>
        <stp>T&amp;T1</stp>
        <stp>DAT</stp>
        <stp>490</stp>
        <tr r="G498" s="1"/>
      </tp>
      <tp t="s">
        <v>19:02:33.690</v>
        <stp/>
        <stp>T&amp;T0</stp>
        <stp>DAT</stp>
        <stp>492</stp>
        <tr r="A500" s="1"/>
      </tp>
      <tp t="s">
        <v>19:03:08.812</v>
        <stp/>
        <stp>T&amp;T1</stp>
        <stp>DAT</stp>
        <stp>493</stp>
        <tr r="G501" s="1"/>
      </tp>
      <tp t="s">
        <v>19:02:33.447</v>
        <stp/>
        <stp>T&amp;T0</stp>
        <stp>DAT</stp>
        <stp>493</stp>
        <tr r="A501" s="1"/>
      </tp>
      <tp t="s">
        <v>19:03:14.014</v>
        <stp/>
        <stp>T&amp;T1</stp>
        <stp>DAT</stp>
        <stp>492</stp>
        <tr r="G500" s="1"/>
      </tp>
      <tp t="s">
        <v>19:02:31.499</v>
        <stp/>
        <stp>T&amp;T0</stp>
        <stp>DAT</stp>
        <stp>494</stp>
        <tr r="A502" s="1"/>
      </tp>
      <tp t="s">
        <v>19:03:08.811</v>
        <stp/>
        <stp>T&amp;T1</stp>
        <stp>DAT</stp>
        <stp>495</stp>
        <tr r="G503" s="1"/>
      </tp>
      <tp t="s">
        <v>19:02:29.334</v>
        <stp/>
        <stp>T&amp;T0</stp>
        <stp>DAT</stp>
        <stp>495</stp>
        <tr r="A503" s="1"/>
      </tp>
      <tp t="s">
        <v>19:03:08.811</v>
        <stp/>
        <stp>T&amp;T1</stp>
        <stp>DAT</stp>
        <stp>494</stp>
        <tr r="G502" s="1"/>
      </tp>
      <tp t="s">
        <v>19:02:29.059</v>
        <stp/>
        <stp>T&amp;T0</stp>
        <stp>DAT</stp>
        <stp>496</stp>
        <tr r="A504" s="1"/>
      </tp>
      <tp t="s">
        <v>19:03:06.418</v>
        <stp/>
        <stp>T&amp;T1</stp>
        <stp>DAT</stp>
        <stp>497</stp>
        <tr r="G505" s="1"/>
      </tp>
      <tp t="s">
        <v>19:02:28.979</v>
        <stp/>
        <stp>T&amp;T0</stp>
        <stp>DAT</stp>
        <stp>497</stp>
        <tr r="A505" s="1"/>
      </tp>
      <tp t="s">
        <v>19:03:08.400</v>
        <stp/>
        <stp>T&amp;T1</stp>
        <stp>DAT</stp>
        <stp>496</stp>
        <tr r="G504" s="1"/>
      </tp>
      <tp t="s">
        <v>19:02:26.749</v>
        <stp/>
        <stp>T&amp;T0</stp>
        <stp>DAT</stp>
        <stp>498</stp>
        <tr r="A506" s="1"/>
      </tp>
      <tp t="s">
        <v>19:03:06.418</v>
        <stp/>
        <stp>T&amp;T1</stp>
        <stp>DAT</stp>
        <stp>499</stp>
        <tr r="G507" s="1"/>
      </tp>
      <tp t="s">
        <v>19:02:26.590</v>
        <stp/>
        <stp>T&amp;T0</stp>
        <stp>DAT</stp>
        <stp>499</stp>
        <tr r="A507" s="1"/>
      </tp>
      <tp t="s">
        <v>19:03:06.418</v>
        <stp/>
        <stp>T&amp;T1</stp>
        <stp>DAT</stp>
        <stp>498</stp>
        <tr r="G506" s="1"/>
      </tp>
      <tp t="s">
        <v>19:02:40.309</v>
        <stp/>
        <stp>T&amp;T0</stp>
        <stp>DAT</stp>
        <stp>480</stp>
        <tr r="A488" s="1"/>
      </tp>
      <tp t="s">
        <v>19:03:19.998</v>
        <stp/>
        <stp>T&amp;T1</stp>
        <stp>DAT</stp>
        <stp>481</stp>
        <tr r="G489" s="1"/>
      </tp>
      <tp t="s">
        <v>19:02:40.226</v>
        <stp/>
        <stp>T&amp;T0</stp>
        <stp>DAT</stp>
        <stp>481</stp>
        <tr r="A489" s="1"/>
      </tp>
      <tp t="s">
        <v>19:03:20.182</v>
        <stp/>
        <stp>T&amp;T1</stp>
        <stp>DAT</stp>
        <stp>480</stp>
        <tr r="G488" s="1"/>
      </tp>
      <tp t="s">
        <v>19:02:40.226</v>
        <stp/>
        <stp>T&amp;T0</stp>
        <stp>DAT</stp>
        <stp>482</stp>
        <tr r="A490" s="1"/>
      </tp>
      <tp t="s">
        <v>19:03:19.614</v>
        <stp/>
        <stp>T&amp;T1</stp>
        <stp>DAT</stp>
        <stp>483</stp>
        <tr r="G491" s="1"/>
      </tp>
      <tp t="s">
        <v>19:02:40.226</v>
        <stp/>
        <stp>T&amp;T0</stp>
        <stp>DAT</stp>
        <stp>483</stp>
        <tr r="A491" s="1"/>
      </tp>
      <tp t="s">
        <v>19:03:19.980</v>
        <stp/>
        <stp>T&amp;T1</stp>
        <stp>DAT</stp>
        <stp>482</stp>
        <tr r="G490" s="1"/>
      </tp>
      <tp t="s">
        <v>19:02:39.623</v>
        <stp/>
        <stp>T&amp;T0</stp>
        <stp>DAT</stp>
        <stp>484</stp>
        <tr r="A492" s="1"/>
      </tp>
      <tp t="s">
        <v>19:03:19.133</v>
        <stp/>
        <stp>T&amp;T1</stp>
        <stp>DAT</stp>
        <stp>485</stp>
        <tr r="G493" s="1"/>
      </tp>
      <tp t="s">
        <v>19:02:39.279</v>
        <stp/>
        <stp>T&amp;T0</stp>
        <stp>DAT</stp>
        <stp>485</stp>
        <tr r="A493" s="1"/>
      </tp>
      <tp t="s">
        <v>19:03:19.614</v>
        <stp/>
        <stp>T&amp;T1</stp>
        <stp>DAT</stp>
        <stp>484</stp>
        <tr r="G492" s="1"/>
      </tp>
      <tp t="s">
        <v>19:02:39.267</v>
        <stp/>
        <stp>T&amp;T0</stp>
        <stp>DAT</stp>
        <stp>486</stp>
        <tr r="A494" s="1"/>
      </tp>
      <tp t="s">
        <v>19:03:17.850</v>
        <stp/>
        <stp>T&amp;T1</stp>
        <stp>DAT</stp>
        <stp>487</stp>
        <tr r="G495" s="1"/>
      </tp>
      <tp t="s">
        <v>19:02:39.267</v>
        <stp/>
        <stp>T&amp;T0</stp>
        <stp>DAT</stp>
        <stp>487</stp>
        <tr r="A495" s="1"/>
      </tp>
      <tp t="s">
        <v>19:03:18.748</v>
        <stp/>
        <stp>T&amp;T1</stp>
        <stp>DAT</stp>
        <stp>486</stp>
        <tr r="G494" s="1"/>
      </tp>
      <tp t="s">
        <v>19:02:38.831</v>
        <stp/>
        <stp>T&amp;T0</stp>
        <stp>DAT</stp>
        <stp>488</stp>
        <tr r="A496" s="1"/>
      </tp>
      <tp t="s">
        <v>19:03:15.881</v>
        <stp/>
        <stp>T&amp;T1</stp>
        <stp>DAT</stp>
        <stp>489</stp>
        <tr r="G497" s="1"/>
      </tp>
      <tp t="s">
        <v>19:02:36.420</v>
        <stp/>
        <stp>T&amp;T0</stp>
        <stp>DAT</stp>
        <stp>489</stp>
        <tr r="A497" s="1"/>
      </tp>
      <tp t="s">
        <v>19:03:17.712</v>
        <stp/>
        <stp>T&amp;T1</stp>
        <stp>DAT</stp>
        <stp>488</stp>
        <tr r="G496" s="1"/>
      </tp>
      <tp t="s">
        <v>Comprador</v>
        <stp/>
        <stp>T&amp;T0</stp>
        <stp>AGR</stp>
        <stp>136</stp>
        <tr r="D144" s="1"/>
      </tp>
      <tp t="s">
        <v>19:03:04.410</v>
        <stp/>
        <stp>T&amp;T0</stp>
        <stp>DAT</stp>
        <stp>450</stp>
        <tr r="A458" s="1"/>
      </tp>
      <tp t="s">
        <v>Vendedor</v>
        <stp/>
        <stp>T&amp;T1</stp>
        <stp>AGR</stp>
        <stp>137</stp>
        <tr r="J145" s="1"/>
      </tp>
      <tp t="s">
        <v>19:03:35.876</v>
        <stp/>
        <stp>T&amp;T1</stp>
        <stp>DAT</stp>
        <stp>451</stp>
        <tr r="G459" s="1"/>
      </tp>
      <tp t="s">
        <v>Comprador</v>
        <stp/>
        <stp>T&amp;T0</stp>
        <stp>AGR</stp>
        <stp>137</stp>
        <tr r="D145" s="1"/>
      </tp>
      <tp t="s">
        <v>19:03:03.814</v>
        <stp/>
        <stp>T&amp;T0</stp>
        <stp>DAT</stp>
        <stp>451</stp>
        <tr r="A459" s="1"/>
      </tp>
      <tp t="s">
        <v>Vendedor</v>
        <stp/>
        <stp>T&amp;T1</stp>
        <stp>AGR</stp>
        <stp>136</stp>
        <tr r="J144" s="1"/>
      </tp>
      <tp t="s">
        <v>19:03:36.714</v>
        <stp/>
        <stp>T&amp;T1</stp>
        <stp>DAT</stp>
        <stp>450</stp>
        <tr r="G458" s="1"/>
      </tp>
      <tp t="s">
        <v>Comprador</v>
        <stp/>
        <stp>T&amp;T0</stp>
        <stp>AGR</stp>
        <stp>134</stp>
        <tr r="D142" s="1"/>
      </tp>
      <tp t="s">
        <v>19:03:03.643</v>
        <stp/>
        <stp>T&amp;T0</stp>
        <stp>DAT</stp>
        <stp>452</stp>
        <tr r="A460" s="1"/>
      </tp>
      <tp t="s">
        <v>Vendedor</v>
        <stp/>
        <stp>T&amp;T1</stp>
        <stp>AGR</stp>
        <stp>135</stp>
        <tr r="J143" s="1"/>
      </tp>
      <tp t="s">
        <v>19:03:35.778</v>
        <stp/>
        <stp>T&amp;T1</stp>
        <stp>DAT</stp>
        <stp>453</stp>
        <tr r="G461" s="1"/>
      </tp>
      <tp t="s">
        <v>Comprador</v>
        <stp/>
        <stp>T&amp;T0</stp>
        <stp>AGR</stp>
        <stp>135</stp>
        <tr r="D143" s="1"/>
      </tp>
      <tp t="s">
        <v>19:03:03.642</v>
        <stp/>
        <stp>T&amp;T0</stp>
        <stp>DAT</stp>
        <stp>453</stp>
        <tr r="A461" s="1"/>
      </tp>
      <tp t="s">
        <v>Vendedor</v>
        <stp/>
        <stp>T&amp;T1</stp>
        <stp>AGR</stp>
        <stp>134</stp>
        <tr r="J142" s="1"/>
      </tp>
      <tp t="s">
        <v>19:03:35.810</v>
        <stp/>
        <stp>T&amp;T1</stp>
        <stp>DAT</stp>
        <stp>452</stp>
        <tr r="G460" s="1"/>
      </tp>
      <tp t="s">
        <v>Comprador</v>
        <stp/>
        <stp>T&amp;T0</stp>
        <stp>AGR</stp>
        <stp>132</stp>
        <tr r="D140" s="1"/>
      </tp>
      <tp t="s">
        <v>19:03:03.539</v>
        <stp/>
        <stp>T&amp;T0</stp>
        <stp>DAT</stp>
        <stp>454</stp>
        <tr r="A462" s="1"/>
      </tp>
      <tp t="s">
        <v>Vendedor</v>
        <stp/>
        <stp>T&amp;T1</stp>
        <stp>AGR</stp>
        <stp>133</stp>
        <tr r="J141" s="1"/>
      </tp>
      <tp t="s">
        <v>19:03:34.555</v>
        <stp/>
        <stp>T&amp;T1</stp>
        <stp>DAT</stp>
        <stp>455</stp>
        <tr r="G463" s="1"/>
      </tp>
      <tp t="s">
        <v>Comprador</v>
        <stp/>
        <stp>T&amp;T0</stp>
        <stp>AGR</stp>
        <stp>133</stp>
        <tr r="D141" s="1"/>
      </tp>
      <tp t="s">
        <v>19:03:03.328</v>
        <stp/>
        <stp>T&amp;T0</stp>
        <stp>DAT</stp>
        <stp>455</stp>
        <tr r="A463" s="1"/>
      </tp>
      <tp t="s">
        <v>Vendedor</v>
        <stp/>
        <stp>T&amp;T1</stp>
        <stp>AGR</stp>
        <stp>132</stp>
        <tr r="J140" s="1"/>
      </tp>
      <tp t="s">
        <v>19:03:35.605</v>
        <stp/>
        <stp>T&amp;T1</stp>
        <stp>DAT</stp>
        <stp>454</stp>
        <tr r="G462" s="1"/>
      </tp>
      <tp t="s">
        <v>Comprador</v>
        <stp/>
        <stp>T&amp;T0</stp>
        <stp>AGR</stp>
        <stp>130</stp>
        <tr r="D138" s="1"/>
      </tp>
      <tp t="s">
        <v>19:03:02.749</v>
        <stp/>
        <stp>T&amp;T0</stp>
        <stp>DAT</stp>
        <stp>456</stp>
        <tr r="A464" s="1"/>
      </tp>
      <tp t="s">
        <v>Vendedor</v>
        <stp/>
        <stp>T&amp;T1</stp>
        <stp>AGR</stp>
        <stp>131</stp>
        <tr r="J139" s="1"/>
      </tp>
      <tp t="s">
        <v>19:03:32.854</v>
        <stp/>
        <stp>T&amp;T1</stp>
        <stp>DAT</stp>
        <stp>457</stp>
        <tr r="G465" s="1"/>
      </tp>
      <tp t="s">
        <v>Comprador</v>
        <stp/>
        <stp>T&amp;T0</stp>
        <stp>AGR</stp>
        <stp>131</stp>
        <tr r="D139" s="1"/>
      </tp>
      <tp t="s">
        <v>19:03:02.184</v>
        <stp/>
        <stp>T&amp;T0</stp>
        <stp>DAT</stp>
        <stp>457</stp>
        <tr r="A465" s="1"/>
      </tp>
      <tp t="s">
        <v>Vendedor</v>
        <stp/>
        <stp>T&amp;T1</stp>
        <stp>AGR</stp>
        <stp>130</stp>
        <tr r="J138" s="1"/>
      </tp>
      <tp t="s">
        <v>19:03:33.790</v>
        <stp/>
        <stp>T&amp;T1</stp>
        <stp>DAT</stp>
        <stp>456</stp>
        <tr r="G464" s="1"/>
      </tp>
      <tp t="s">
        <v>19:03:02.181</v>
        <stp/>
        <stp>T&amp;T0</stp>
        <stp>DAT</stp>
        <stp>458</stp>
        <tr r="A466" s="1"/>
      </tp>
      <tp t="s">
        <v>19:03:31.912</v>
        <stp/>
        <stp>T&amp;T1</stp>
        <stp>DAT</stp>
        <stp>459</stp>
        <tr r="G467" s="1"/>
      </tp>
      <tp t="s">
        <v>19:03:01.046</v>
        <stp/>
        <stp>T&amp;T0</stp>
        <stp>DAT</stp>
        <stp>459</stp>
        <tr r="A467" s="1"/>
      </tp>
      <tp t="s">
        <v>19:03:32.099</v>
        <stp/>
        <stp>T&amp;T1</stp>
        <stp>DAT</stp>
        <stp>458</stp>
        <tr r="G466" s="1"/>
      </tp>
      <tp t="s">
        <v>Comprador</v>
        <stp/>
        <stp>T&amp;T0</stp>
        <stp>AGR</stp>
        <stp>138</stp>
        <tr r="D146" s="1"/>
      </tp>
      <tp t="s">
        <v>Vendedor</v>
        <stp/>
        <stp>T&amp;T1</stp>
        <stp>AGR</stp>
        <stp>139</stp>
        <tr r="J147" s="1"/>
      </tp>
      <tp t="s">
        <v>Comprador</v>
        <stp/>
        <stp>T&amp;T0</stp>
        <stp>AGR</stp>
        <stp>139</stp>
        <tr r="D147" s="1"/>
      </tp>
      <tp t="s">
        <v>Vendedor</v>
        <stp/>
        <stp>T&amp;T1</stp>
        <stp>AGR</stp>
        <stp>138</stp>
        <tr r="J146" s="1"/>
      </tp>
      <tp t="s">
        <v>Comprador</v>
        <stp/>
        <stp>T&amp;T0</stp>
        <stp>AGR</stp>
        <stp>126</stp>
        <tr r="D134" s="1"/>
      </tp>
      <tp t="s">
        <v>19:03:10.038</v>
        <stp/>
        <stp>T&amp;T0</stp>
        <stp>DAT</stp>
        <stp>440</stp>
        <tr r="A448" s="1"/>
      </tp>
      <tp t="s">
        <v>Vendedor</v>
        <stp/>
        <stp>T&amp;T1</stp>
        <stp>AGR</stp>
        <stp>127</stp>
        <tr r="J135" s="1"/>
      </tp>
      <tp t="s">
        <v>19:03:39.806</v>
        <stp/>
        <stp>T&amp;T1</stp>
        <stp>DAT</stp>
        <stp>441</stp>
        <tr r="G449" s="1"/>
      </tp>
      <tp t="s">
        <v>Comprador</v>
        <stp/>
        <stp>T&amp;T0</stp>
        <stp>AGR</stp>
        <stp>127</stp>
        <tr r="D135" s="1"/>
      </tp>
      <tp t="s">
        <v>19:03:10.021</v>
        <stp/>
        <stp>T&amp;T0</stp>
        <stp>DAT</stp>
        <stp>441</stp>
        <tr r="A449" s="1"/>
      </tp>
      <tp t="s">
        <v>Vendedor</v>
        <stp/>
        <stp>T&amp;T1</stp>
        <stp>AGR</stp>
        <stp>126</stp>
        <tr r="J134" s="1"/>
      </tp>
      <tp t="s">
        <v>19:03:39.923</v>
        <stp/>
        <stp>T&amp;T1</stp>
        <stp>DAT</stp>
        <stp>440</stp>
        <tr r="G448" s="1"/>
      </tp>
      <tp t="s">
        <v>Comprador</v>
        <stp/>
        <stp>T&amp;T0</stp>
        <stp>AGR</stp>
        <stp>124</stp>
        <tr r="D132" s="1"/>
      </tp>
      <tp t="s">
        <v>19:03:10.015</v>
        <stp/>
        <stp>T&amp;T0</stp>
        <stp>DAT</stp>
        <stp>442</stp>
        <tr r="A450" s="1"/>
      </tp>
      <tp t="s">
        <v>Vendedor</v>
        <stp/>
        <stp>T&amp;T1</stp>
        <stp>AGR</stp>
        <stp>125</stp>
        <tr r="J133" s="1"/>
      </tp>
      <tp t="s">
        <v>19:03:38.346</v>
        <stp/>
        <stp>T&amp;T1</stp>
        <stp>DAT</stp>
        <stp>443</stp>
        <tr r="G451" s="1"/>
      </tp>
      <tp t="s">
        <v>Comprador</v>
        <stp/>
        <stp>T&amp;T0</stp>
        <stp>AGR</stp>
        <stp>125</stp>
        <tr r="D133" s="1"/>
      </tp>
      <tp t="s">
        <v>19:03:10.015</v>
        <stp/>
        <stp>T&amp;T0</stp>
        <stp>DAT</stp>
        <stp>443</stp>
        <tr r="A451" s="1"/>
      </tp>
      <tp t="s">
        <v>Vendedor</v>
        <stp/>
        <stp>T&amp;T1</stp>
        <stp>AGR</stp>
        <stp>124</stp>
        <tr r="J132" s="1"/>
      </tp>
      <tp t="s">
        <v>19:03:38.867</v>
        <stp/>
        <stp>T&amp;T1</stp>
        <stp>DAT</stp>
        <stp>442</stp>
        <tr r="G450" s="1"/>
      </tp>
      <tp t="s">
        <v>Comprador</v>
        <stp/>
        <stp>T&amp;T0</stp>
        <stp>AGR</stp>
        <stp>122</stp>
        <tr r="D130" s="1"/>
      </tp>
      <tp t="s">
        <v>19:03:09.849</v>
        <stp/>
        <stp>T&amp;T0</stp>
        <stp>DAT</stp>
        <stp>444</stp>
        <tr r="A452" s="1"/>
      </tp>
      <tp t="s">
        <v>Vendedor</v>
        <stp/>
        <stp>T&amp;T1</stp>
        <stp>AGR</stp>
        <stp>123</stp>
        <tr r="J131" s="1"/>
      </tp>
      <tp t="s">
        <v>19:03:38.052</v>
        <stp/>
        <stp>T&amp;T1</stp>
        <stp>DAT</stp>
        <stp>445</stp>
        <tr r="G453" s="1"/>
      </tp>
      <tp t="s">
        <v>Comprador</v>
        <stp/>
        <stp>T&amp;T0</stp>
        <stp>AGR</stp>
        <stp>123</stp>
        <tr r="D131" s="1"/>
      </tp>
      <tp t="s">
        <v>19:03:08.111</v>
        <stp/>
        <stp>T&amp;T0</stp>
        <stp>DAT</stp>
        <stp>445</stp>
        <tr r="A453" s="1"/>
      </tp>
      <tp t="s">
        <v>Vendedor</v>
        <stp/>
        <stp>T&amp;T1</stp>
        <stp>AGR</stp>
        <stp>122</stp>
        <tr r="J130" s="1"/>
      </tp>
      <tp t="s">
        <v>19:03:38.345</v>
        <stp/>
        <stp>T&amp;T1</stp>
        <stp>DAT</stp>
        <stp>444</stp>
        <tr r="G452" s="1"/>
      </tp>
      <tp t="s">
        <v>Comprador</v>
        <stp/>
        <stp>T&amp;T0</stp>
        <stp>AGR</stp>
        <stp>120</stp>
        <tr r="D128" s="1"/>
      </tp>
      <tp t="s">
        <v>19:03:07.225</v>
        <stp/>
        <stp>T&amp;T0</stp>
        <stp>DAT</stp>
        <stp>446</stp>
        <tr r="A454" s="1"/>
      </tp>
      <tp t="s">
        <v>Vendedor</v>
        <stp/>
        <stp>T&amp;T1</stp>
        <stp>AGR</stp>
        <stp>121</stp>
        <tr r="J129" s="1"/>
      </tp>
      <tp t="s">
        <v>19:03:37.684</v>
        <stp/>
        <stp>T&amp;T1</stp>
        <stp>DAT</stp>
        <stp>447</stp>
        <tr r="G455" s="1"/>
      </tp>
      <tp t="s">
        <v>Comprador</v>
        <stp/>
        <stp>T&amp;T0</stp>
        <stp>AGR</stp>
        <stp>121</stp>
        <tr r="D129" s="1"/>
      </tp>
      <tp t="s">
        <v>19:03:06.577</v>
        <stp/>
        <stp>T&amp;T0</stp>
        <stp>DAT</stp>
        <stp>447</stp>
        <tr r="A455" s="1"/>
      </tp>
      <tp t="s">
        <v>Vendedor</v>
        <stp/>
        <stp>T&amp;T1</stp>
        <stp>AGR</stp>
        <stp>120</stp>
        <tr r="J128" s="1"/>
      </tp>
      <tp t="s">
        <v>19:03:38.052</v>
        <stp/>
        <stp>T&amp;T1</stp>
        <stp>DAT</stp>
        <stp>446</stp>
        <tr r="G454" s="1"/>
      </tp>
      <tp t="s">
        <v>19:03:05.133</v>
        <stp/>
        <stp>T&amp;T0</stp>
        <stp>DAT</stp>
        <stp>448</stp>
        <tr r="A456" s="1"/>
      </tp>
      <tp t="s">
        <v>19:03:36.855</v>
        <stp/>
        <stp>T&amp;T1</stp>
        <stp>DAT</stp>
        <stp>449</stp>
        <tr r="G457" s="1"/>
      </tp>
      <tp t="s">
        <v>19:03:04.414</v>
        <stp/>
        <stp>T&amp;T0</stp>
        <stp>DAT</stp>
        <stp>449</stp>
        <tr r="A457" s="1"/>
      </tp>
      <tp t="s">
        <v>19:03:37.464</v>
        <stp/>
        <stp>T&amp;T1</stp>
        <stp>DAT</stp>
        <stp>448</stp>
        <tr r="G456" s="1"/>
      </tp>
      <tp t="s">
        <v>Comprador</v>
        <stp/>
        <stp>T&amp;T0</stp>
        <stp>AGR</stp>
        <stp>128</stp>
        <tr r="D136" s="1"/>
      </tp>
      <tp t="s">
        <v>Vendedor</v>
        <stp/>
        <stp>T&amp;T1</stp>
        <stp>AGR</stp>
        <stp>129</stp>
        <tr r="J137" s="1"/>
      </tp>
      <tp t="s">
        <v>Comprador</v>
        <stp/>
        <stp>T&amp;T0</stp>
        <stp>AGR</stp>
        <stp>129</stp>
        <tr r="D137" s="1"/>
      </tp>
      <tp t="s">
        <v>Vendedor</v>
        <stp/>
        <stp>T&amp;T1</stp>
        <stp>AGR</stp>
        <stp>128</stp>
        <tr r="J136" s="1"/>
      </tp>
      <tp t="s">
        <v>Comprador</v>
        <stp/>
        <stp>T&amp;T0</stp>
        <stp>AGR</stp>
        <stp>116</stp>
        <tr r="D124" s="1"/>
      </tp>
      <tp t="s">
        <v>19:02:47.810</v>
        <stp/>
        <stp>T&amp;T0</stp>
        <stp>DAT</stp>
        <stp>470</stp>
        <tr r="A478" s="1"/>
      </tp>
      <tp t="s">
        <v>Vendedor</v>
        <stp/>
        <stp>T&amp;T1</stp>
        <stp>AGR</stp>
        <stp>117</stp>
        <tr r="J125" s="1"/>
      </tp>
      <tp t="s">
        <v>19:03:25.801</v>
        <stp/>
        <stp>T&amp;T1</stp>
        <stp>DAT</stp>
        <stp>471</stp>
        <tr r="G479" s="1"/>
      </tp>
      <tp t="s">
        <v>Comprador</v>
        <stp/>
        <stp>T&amp;T0</stp>
        <stp>AGR</stp>
        <stp>117</stp>
        <tr r="D125" s="1"/>
      </tp>
      <tp t="s">
        <v>19:02:47.779</v>
        <stp/>
        <stp>T&amp;T0</stp>
        <stp>DAT</stp>
        <stp>471</stp>
        <tr r="A479" s="1"/>
      </tp>
      <tp t="s">
        <v>Vendedor</v>
        <stp/>
        <stp>T&amp;T1</stp>
        <stp>AGR</stp>
        <stp>116</stp>
        <tr r="J124" s="1"/>
      </tp>
      <tp t="s">
        <v>19:03:26.901</v>
        <stp/>
        <stp>T&amp;T1</stp>
        <stp>DAT</stp>
        <stp>470</stp>
        <tr r="G478" s="1"/>
      </tp>
      <tp t="s">
        <v>Comprador</v>
        <stp/>
        <stp>T&amp;T0</stp>
        <stp>AGR</stp>
        <stp>114</stp>
        <tr r="D122" s="1"/>
      </tp>
      <tp t="s">
        <v>19:02:47.778</v>
        <stp/>
        <stp>T&amp;T0</stp>
        <stp>DAT</stp>
        <stp>472</stp>
        <tr r="A480" s="1"/>
      </tp>
      <tp t="s">
        <v>Vendedor</v>
        <stp/>
        <stp>T&amp;T1</stp>
        <stp>AGR</stp>
        <stp>115</stp>
        <tr r="J123" s="1"/>
      </tp>
      <tp t="s">
        <v>19:03:24.918</v>
        <stp/>
        <stp>T&amp;T1</stp>
        <stp>DAT</stp>
        <stp>473</stp>
        <tr r="G481" s="1"/>
      </tp>
      <tp t="s">
        <v>Comprador</v>
        <stp/>
        <stp>T&amp;T0</stp>
        <stp>AGR</stp>
        <stp>115</stp>
        <tr r="D123" s="1"/>
      </tp>
      <tp t="s">
        <v>19:02:47.390</v>
        <stp/>
        <stp>T&amp;T0</stp>
        <stp>DAT</stp>
        <stp>473</stp>
        <tr r="A481" s="1"/>
      </tp>
      <tp t="s">
        <v>Vendedor</v>
        <stp/>
        <stp>T&amp;T1</stp>
        <stp>AGR</stp>
        <stp>114</stp>
        <tr r="J122" s="1"/>
      </tp>
      <tp t="s">
        <v>19:03:24.982</v>
        <stp/>
        <stp>T&amp;T1</stp>
        <stp>DAT</stp>
        <stp>472</stp>
        <tr r="G480" s="1"/>
      </tp>
      <tp t="s">
        <v>Comprador</v>
        <stp/>
        <stp>T&amp;T0</stp>
        <stp>AGR</stp>
        <stp>112</stp>
        <tr r="D120" s="1"/>
      </tp>
      <tp t="s">
        <v>19:02:47.191</v>
        <stp/>
        <stp>T&amp;T0</stp>
        <stp>DAT</stp>
        <stp>474</stp>
        <tr r="A482" s="1"/>
      </tp>
      <tp t="s">
        <v>Vendedor</v>
        <stp/>
        <stp>T&amp;T1</stp>
        <stp>AGR</stp>
        <stp>113</stp>
        <tr r="J121" s="1"/>
      </tp>
      <tp t="s">
        <v>19:03:24.259</v>
        <stp/>
        <stp>T&amp;T1</stp>
        <stp>DAT</stp>
        <stp>475</stp>
        <tr r="G483" s="1"/>
      </tp>
      <tp t="s">
        <v>Comprador</v>
        <stp/>
        <stp>T&amp;T0</stp>
        <stp>AGR</stp>
        <stp>113</stp>
        <tr r="D121" s="1"/>
      </tp>
      <tp t="s">
        <v>19:02:47.042</v>
        <stp/>
        <stp>T&amp;T0</stp>
        <stp>DAT</stp>
        <stp>475</stp>
        <tr r="A483" s="1"/>
      </tp>
      <tp t="s">
        <v>Vendedor</v>
        <stp/>
        <stp>T&amp;T1</stp>
        <stp>AGR</stp>
        <stp>112</stp>
        <tr r="J120" s="1"/>
      </tp>
      <tp t="s">
        <v>19:03:24.259</v>
        <stp/>
        <stp>T&amp;T1</stp>
        <stp>DAT</stp>
        <stp>474</stp>
        <tr r="G482" s="1"/>
      </tp>
      <tp t="s">
        <v>Comprador</v>
        <stp/>
        <stp>T&amp;T0</stp>
        <stp>AGR</stp>
        <stp>110</stp>
        <tr r="D118" s="1"/>
      </tp>
      <tp t="s">
        <v>19:02:47.042</v>
        <stp/>
        <stp>T&amp;T0</stp>
        <stp>DAT</stp>
        <stp>476</stp>
        <tr r="A484" s="1"/>
      </tp>
      <tp t="s">
        <v>Vendedor</v>
        <stp/>
        <stp>T&amp;T1</stp>
        <stp>AGR</stp>
        <stp>111</stp>
        <tr r="J119" s="1"/>
      </tp>
      <tp t="s">
        <v>19:03:21.871</v>
        <stp/>
        <stp>T&amp;T1</stp>
        <stp>DAT</stp>
        <stp>477</stp>
        <tr r="G485" s="1"/>
      </tp>
      <tp t="s">
        <v>Comprador</v>
        <stp/>
        <stp>T&amp;T0</stp>
        <stp>AGR</stp>
        <stp>111</stp>
        <tr r="D119" s="1"/>
      </tp>
      <tp t="s">
        <v>19:02:44.209</v>
        <stp/>
        <stp>T&amp;T0</stp>
        <stp>DAT</stp>
        <stp>477</stp>
        <tr r="A485" s="1"/>
      </tp>
      <tp t="s">
        <v>Vendedor</v>
        <stp/>
        <stp>T&amp;T1</stp>
        <stp>AGR</stp>
        <stp>110</stp>
        <tr r="J118" s="1"/>
      </tp>
      <tp t="s">
        <v>19:03:21.949</v>
        <stp/>
        <stp>T&amp;T1</stp>
        <stp>DAT</stp>
        <stp>476</stp>
        <tr r="G484" s="1"/>
      </tp>
      <tp t="s">
        <v>19:02:44.208</v>
        <stp/>
        <stp>T&amp;T0</stp>
        <stp>DAT</stp>
        <stp>478</stp>
        <tr r="A486" s="1"/>
      </tp>
      <tp t="s">
        <v>19:03:21.602</v>
        <stp/>
        <stp>T&amp;T1</stp>
        <stp>DAT</stp>
        <stp>479</stp>
        <tr r="G487" s="1"/>
      </tp>
      <tp t="s">
        <v>19:02:41.212</v>
        <stp/>
        <stp>T&amp;T0</stp>
        <stp>DAT</stp>
        <stp>479</stp>
        <tr r="A487" s="1"/>
      </tp>
      <tp t="s">
        <v>19:03:21.602</v>
        <stp/>
        <stp>T&amp;T1</stp>
        <stp>DAT</stp>
        <stp>478</stp>
        <tr r="G486" s="1"/>
      </tp>
      <tp t="s">
        <v>Comprador</v>
        <stp/>
        <stp>T&amp;T0</stp>
        <stp>AGR</stp>
        <stp>118</stp>
        <tr r="D126" s="1"/>
      </tp>
      <tp t="s">
        <v>Vendedor</v>
        <stp/>
        <stp>T&amp;T1</stp>
        <stp>AGR</stp>
        <stp>119</stp>
        <tr r="J127" s="1"/>
      </tp>
      <tp t="s">
        <v>Comprador</v>
        <stp/>
        <stp>T&amp;T0</stp>
        <stp>AGR</stp>
        <stp>119</stp>
        <tr r="D127" s="1"/>
      </tp>
      <tp t="s">
        <v>Vendedor</v>
        <stp/>
        <stp>T&amp;T1</stp>
        <stp>AGR</stp>
        <stp>118</stp>
        <tr r="J126" s="1"/>
      </tp>
      <tp t="s">
        <v>Comprador</v>
        <stp/>
        <stp>T&amp;T0</stp>
        <stp>AGR</stp>
        <stp>106</stp>
        <tr r="D114" s="1"/>
      </tp>
      <tp t="s">
        <v>19:03:01.046</v>
        <stp/>
        <stp>T&amp;T0</stp>
        <stp>DAT</stp>
        <stp>460</stp>
        <tr r="A468" s="1"/>
      </tp>
      <tp t="s">
        <v>Vendedor</v>
        <stp/>
        <stp>T&amp;T1</stp>
        <stp>AGR</stp>
        <stp>107</stp>
        <tr r="J115" s="1"/>
      </tp>
      <tp t="s">
        <v>19:03:31.911</v>
        <stp/>
        <stp>T&amp;T1</stp>
        <stp>DAT</stp>
        <stp>461</stp>
        <tr r="G469" s="1"/>
      </tp>
      <tp t="s">
        <v>Comprador</v>
        <stp/>
        <stp>T&amp;T0</stp>
        <stp>AGR</stp>
        <stp>107</stp>
        <tr r="D115" s="1"/>
      </tp>
      <tp t="s">
        <v>19:03:01.046</v>
        <stp/>
        <stp>T&amp;T0</stp>
        <stp>DAT</stp>
        <stp>461</stp>
        <tr r="A469" s="1"/>
      </tp>
      <tp t="s">
        <v>Vendedor</v>
        <stp/>
        <stp>T&amp;T1</stp>
        <stp>AGR</stp>
        <stp>106</stp>
        <tr r="J114" s="1"/>
      </tp>
      <tp t="s">
        <v>19:03:31.912</v>
        <stp/>
        <stp>T&amp;T1</stp>
        <stp>DAT</stp>
        <stp>460</stp>
        <tr r="G468" s="1"/>
      </tp>
      <tp t="s">
        <v>Comprador</v>
        <stp/>
        <stp>T&amp;T0</stp>
        <stp>AGR</stp>
        <stp>104</stp>
        <tr r="D112" s="1"/>
      </tp>
      <tp t="s">
        <v>19:02:57.413</v>
        <stp/>
        <stp>T&amp;T0</stp>
        <stp>DAT</stp>
        <stp>462</stp>
        <tr r="A470" s="1"/>
      </tp>
      <tp t="s">
        <v>Vendedor</v>
        <stp/>
        <stp>T&amp;T1</stp>
        <stp>AGR</stp>
        <stp>105</stp>
        <tr r="J113" s="1"/>
      </tp>
      <tp t="s">
        <v>19:03:30.869</v>
        <stp/>
        <stp>T&amp;T1</stp>
        <stp>DAT</stp>
        <stp>463</stp>
        <tr r="G471" s="1"/>
      </tp>
      <tp t="s">
        <v>Comprador</v>
        <stp/>
        <stp>T&amp;T0</stp>
        <stp>AGR</stp>
        <stp>105</stp>
        <tr r="D113" s="1"/>
      </tp>
      <tp t="s">
        <v>19:02:57.027</v>
        <stp/>
        <stp>T&amp;T0</stp>
        <stp>DAT</stp>
        <stp>463</stp>
        <tr r="A471" s="1"/>
      </tp>
      <tp t="s">
        <v>Vendedor</v>
        <stp/>
        <stp>T&amp;T1</stp>
        <stp>AGR</stp>
        <stp>104</stp>
        <tr r="J112" s="1"/>
      </tp>
      <tp t="s">
        <v>19:03:31.911</v>
        <stp/>
        <stp>T&amp;T1</stp>
        <stp>DAT</stp>
        <stp>462</stp>
        <tr r="G470" s="1"/>
      </tp>
      <tp t="s">
        <v>Comprador</v>
        <stp/>
        <stp>T&amp;T0</stp>
        <stp>AGR</stp>
        <stp>102</stp>
        <tr r="D110" s="1"/>
      </tp>
      <tp t="s">
        <v>19:02:53.492</v>
        <stp/>
        <stp>T&amp;T0</stp>
        <stp>DAT</stp>
        <stp>464</stp>
        <tr r="A472" s="1"/>
      </tp>
      <tp t="s">
        <v>Vendedor</v>
        <stp/>
        <stp>T&amp;T1</stp>
        <stp>AGR</stp>
        <stp>103</stp>
        <tr r="J111" s="1"/>
      </tp>
      <tp t="s">
        <v>19:03:28.109</v>
        <stp/>
        <stp>T&amp;T1</stp>
        <stp>DAT</stp>
        <stp>465</stp>
        <tr r="G473" s="1"/>
      </tp>
      <tp t="s">
        <v>Comprador</v>
        <stp/>
        <stp>T&amp;T0</stp>
        <stp>AGR</stp>
        <stp>103</stp>
        <tr r="D111" s="1"/>
      </tp>
      <tp t="s">
        <v>19:02:51.964</v>
        <stp/>
        <stp>T&amp;T0</stp>
        <stp>DAT</stp>
        <stp>465</stp>
        <tr r="A473" s="1"/>
      </tp>
      <tp t="s">
        <v>Vendedor</v>
        <stp/>
        <stp>T&amp;T1</stp>
        <stp>AGR</stp>
        <stp>102</stp>
        <tr r="J110" s="1"/>
      </tp>
      <tp t="s">
        <v>19:03:30.869</v>
        <stp/>
        <stp>T&amp;T1</stp>
        <stp>DAT</stp>
        <stp>464</stp>
        <tr r="G472" s="1"/>
      </tp>
      <tp t="s">
        <v>Comprador</v>
        <stp/>
        <stp>T&amp;T0</stp>
        <stp>AGR</stp>
        <stp>100</stp>
        <tr r="D108" s="1"/>
      </tp>
      <tp t="s">
        <v>19:02:51.964</v>
        <stp/>
        <stp>T&amp;T0</stp>
        <stp>DAT</stp>
        <stp>466</stp>
        <tr r="A474" s="1"/>
      </tp>
      <tp t="s">
        <v>Vendedor</v>
        <stp/>
        <stp>T&amp;T1</stp>
        <stp>AGR</stp>
        <stp>101</stp>
        <tr r="J109" s="1"/>
      </tp>
      <tp t="s">
        <v>19:03:28.108</v>
        <stp/>
        <stp>T&amp;T1</stp>
        <stp>DAT</stp>
        <stp>467</stp>
        <tr r="G475" s="1"/>
      </tp>
      <tp t="s">
        <v>Comprador</v>
        <stp/>
        <stp>T&amp;T0</stp>
        <stp>AGR</stp>
        <stp>101</stp>
        <tr r="D109" s="1"/>
      </tp>
      <tp t="s">
        <v>19:02:49.588</v>
        <stp/>
        <stp>T&amp;T0</stp>
        <stp>DAT</stp>
        <stp>467</stp>
        <tr r="A475" s="1"/>
      </tp>
      <tp t="s">
        <v>Vendedor</v>
        <stp/>
        <stp>T&amp;T1</stp>
        <stp>AGR</stp>
        <stp>100</stp>
        <tr r="J108" s="1"/>
      </tp>
      <tp t="s">
        <v>19:03:28.109</v>
        <stp/>
        <stp>T&amp;T1</stp>
        <stp>DAT</stp>
        <stp>466</stp>
        <tr r="G474" s="1"/>
      </tp>
      <tp t="s">
        <v>19:02:49.185</v>
        <stp/>
        <stp>T&amp;T0</stp>
        <stp>DAT</stp>
        <stp>468</stp>
        <tr r="A476" s="1"/>
      </tp>
      <tp t="s">
        <v>19:03:26.962</v>
        <stp/>
        <stp>T&amp;T1</stp>
        <stp>DAT</stp>
        <stp>469</stp>
        <tr r="G477" s="1"/>
      </tp>
      <tp t="s">
        <v>19:02:48.264</v>
        <stp/>
        <stp>T&amp;T0</stp>
        <stp>DAT</stp>
        <stp>469</stp>
        <tr r="A477" s="1"/>
      </tp>
      <tp t="s">
        <v>19:03:28.108</v>
        <stp/>
        <stp>T&amp;T1</stp>
        <stp>DAT</stp>
        <stp>468</stp>
        <tr r="G476" s="1"/>
      </tp>
      <tp t="s">
        <v>Comprador</v>
        <stp/>
        <stp>T&amp;T0</stp>
        <stp>AGR</stp>
        <stp>108</stp>
        <tr r="D116" s="1"/>
      </tp>
      <tp t="s">
        <v>Vendedor</v>
        <stp/>
        <stp>T&amp;T1</stp>
        <stp>AGR</stp>
        <stp>109</stp>
        <tr r="J117" s="1"/>
      </tp>
      <tp t="s">
        <v>Comprador</v>
        <stp/>
        <stp>T&amp;T0</stp>
        <stp>AGR</stp>
        <stp>109</stp>
        <tr r="D117" s="1"/>
      </tp>
      <tp t="s">
        <v>Vendedor</v>
        <stp/>
        <stp>T&amp;T1</stp>
        <stp>AGR</stp>
        <stp>108</stp>
        <tr r="J116" s="1"/>
      </tp>
      <tp t="s">
        <v>Comprador</v>
        <stp/>
        <stp>T&amp;T0</stp>
        <stp>AGR</stp>
        <stp>176</stp>
        <tr r="D184" s="1"/>
      </tp>
      <tp t="s">
        <v>19:03:22.013</v>
        <stp/>
        <stp>T&amp;T0</stp>
        <stp>DAT</stp>
        <stp>410</stp>
        <tr r="A418" s="1"/>
      </tp>
      <tp t="s">
        <v>Vendedor</v>
        <stp/>
        <stp>T&amp;T1</stp>
        <stp>AGR</stp>
        <stp>177</stp>
        <tr r="J185" s="1"/>
      </tp>
      <tp t="s">
        <v>19:03:56.134</v>
        <stp/>
        <stp>T&amp;T1</stp>
        <stp>DAT</stp>
        <stp>411</stp>
        <tr r="G419" s="1"/>
      </tp>
      <tp t="s">
        <v>Comprador</v>
        <stp/>
        <stp>T&amp;T0</stp>
        <stp>AGR</stp>
        <stp>177</stp>
        <tr r="D185" s="1"/>
      </tp>
      <tp t="s">
        <v>19:03:21.620</v>
        <stp/>
        <stp>T&amp;T0</stp>
        <stp>DAT</stp>
        <stp>411</stp>
        <tr r="A419" s="1"/>
      </tp>
      <tp t="s">
        <v>Vendedor</v>
        <stp/>
        <stp>T&amp;T1</stp>
        <stp>AGR</stp>
        <stp>176</stp>
        <tr r="J184" s="1"/>
      </tp>
      <tp t="s">
        <v>19:03:56.134</v>
        <stp/>
        <stp>T&amp;T1</stp>
        <stp>DAT</stp>
        <stp>410</stp>
        <tr r="G418" s="1"/>
      </tp>
      <tp t="s">
        <v>Comprador</v>
        <stp/>
        <stp>T&amp;T0</stp>
        <stp>AGR</stp>
        <stp>174</stp>
        <tr r="D182" s="1"/>
      </tp>
      <tp t="s">
        <v>19:03:21.602</v>
        <stp/>
        <stp>T&amp;T0</stp>
        <stp>DAT</stp>
        <stp>412</stp>
        <tr r="A420" s="1"/>
      </tp>
      <tp t="s">
        <v>Vendedor</v>
        <stp/>
        <stp>T&amp;T1</stp>
        <stp>AGR</stp>
        <stp>175</stp>
        <tr r="J183" s="1"/>
      </tp>
      <tp t="s">
        <v>19:03:54.933</v>
        <stp/>
        <stp>T&amp;T1</stp>
        <stp>DAT</stp>
        <stp>413</stp>
        <tr r="G421" s="1"/>
      </tp>
      <tp t="s">
        <v>Comprador</v>
        <stp/>
        <stp>T&amp;T0</stp>
        <stp>AGR</stp>
        <stp>175</stp>
        <tr r="D183" s="1"/>
      </tp>
      <tp t="s">
        <v>19:03:21.556</v>
        <stp/>
        <stp>T&amp;T0</stp>
        <stp>DAT</stp>
        <stp>413</stp>
        <tr r="A421" s="1"/>
      </tp>
      <tp t="s">
        <v>Vendedor</v>
        <stp/>
        <stp>T&amp;T1</stp>
        <stp>AGR</stp>
        <stp>174</stp>
        <tr r="J182" s="1"/>
      </tp>
      <tp t="s">
        <v>19:03:54.934</v>
        <stp/>
        <stp>T&amp;T1</stp>
        <stp>DAT</stp>
        <stp>412</stp>
        <tr r="G420" s="1"/>
      </tp>
      <tp t="s">
        <v>Comprador</v>
        <stp/>
        <stp>T&amp;T0</stp>
        <stp>AGR</stp>
        <stp>172</stp>
        <tr r="D180" s="1"/>
      </tp>
      <tp t="s">
        <v>19:03:21.473</v>
        <stp/>
        <stp>T&amp;T0</stp>
        <stp>DAT</stp>
        <stp>414</stp>
        <tr r="A422" s="1"/>
      </tp>
      <tp t="s">
        <v>Vendedor</v>
        <stp/>
        <stp>T&amp;T1</stp>
        <stp>AGR</stp>
        <stp>173</stp>
        <tr r="J181" s="1"/>
      </tp>
      <tp t="s">
        <v>19:03:52.410</v>
        <stp/>
        <stp>T&amp;T1</stp>
        <stp>DAT</stp>
        <stp>415</stp>
        <tr r="G423" s="1"/>
      </tp>
      <tp t="s">
        <v>Comprador</v>
        <stp/>
        <stp>T&amp;T0</stp>
        <stp>AGR</stp>
        <stp>173</stp>
        <tr r="D181" s="1"/>
      </tp>
      <tp t="s">
        <v>19:03:21.411</v>
        <stp/>
        <stp>T&amp;T0</stp>
        <stp>DAT</stp>
        <stp>415</stp>
        <tr r="A423" s="1"/>
      </tp>
      <tp t="s">
        <v>Vendedor</v>
        <stp/>
        <stp>T&amp;T1</stp>
        <stp>AGR</stp>
        <stp>172</stp>
        <tr r="J180" s="1"/>
      </tp>
      <tp t="s">
        <v>19:03:53.208</v>
        <stp/>
        <stp>T&amp;T1</stp>
        <stp>DAT</stp>
        <stp>414</stp>
        <tr r="G422" s="1"/>
      </tp>
      <tp t="s">
        <v>Comprador</v>
        <stp/>
        <stp>T&amp;T0</stp>
        <stp>AGR</stp>
        <stp>170</stp>
        <tr r="D178" s="1"/>
      </tp>
      <tp t="s">
        <v>19:03:20.775</v>
        <stp/>
        <stp>T&amp;T0</stp>
        <stp>DAT</stp>
        <stp>416</stp>
        <tr r="A424" s="1"/>
      </tp>
      <tp t="s">
        <v>Vendedor</v>
        <stp/>
        <stp>T&amp;T1</stp>
        <stp>AGR</stp>
        <stp>171</stp>
        <tr r="J179" s="1"/>
      </tp>
      <tp t="s">
        <v>19:03:50.376</v>
        <stp/>
        <stp>T&amp;T1</stp>
        <stp>DAT</stp>
        <stp>417</stp>
        <tr r="G425" s="1"/>
      </tp>
      <tp t="s">
        <v>Comprador</v>
        <stp/>
        <stp>T&amp;T0</stp>
        <stp>AGR</stp>
        <stp>171</stp>
        <tr r="D179" s="1"/>
      </tp>
      <tp t="s">
        <v>19:03:19.558</v>
        <stp/>
        <stp>T&amp;T0</stp>
        <stp>DAT</stp>
        <stp>417</stp>
        <tr r="A425" s="1"/>
      </tp>
      <tp t="s">
        <v>Vendedor</v>
        <stp/>
        <stp>T&amp;T1</stp>
        <stp>AGR</stp>
        <stp>170</stp>
        <tr r="J178" s="1"/>
      </tp>
      <tp t="s">
        <v>19:03:51.976</v>
        <stp/>
        <stp>T&amp;T1</stp>
        <stp>DAT</stp>
        <stp>416</stp>
        <tr r="G424" s="1"/>
      </tp>
      <tp t="s">
        <v>19:03:19.499</v>
        <stp/>
        <stp>T&amp;T0</stp>
        <stp>DAT</stp>
        <stp>418</stp>
        <tr r="A426" s="1"/>
      </tp>
      <tp t="s">
        <v>19:03:49.775</v>
        <stp/>
        <stp>T&amp;T1</stp>
        <stp>DAT</stp>
        <stp>419</stp>
        <tr r="G427" s="1"/>
      </tp>
      <tp t="s">
        <v>19:03:19.499</v>
        <stp/>
        <stp>T&amp;T0</stp>
        <stp>DAT</stp>
        <stp>419</stp>
        <tr r="A427" s="1"/>
      </tp>
      <tp t="s">
        <v>19:03:49.775</v>
        <stp/>
        <stp>T&amp;T1</stp>
        <stp>DAT</stp>
        <stp>418</stp>
        <tr r="G426" s="1"/>
      </tp>
      <tp t="s">
        <v>Comprador</v>
        <stp/>
        <stp>T&amp;T0</stp>
        <stp>AGR</stp>
        <stp>178</stp>
        <tr r="D186" s="1"/>
      </tp>
      <tp t="s">
        <v>Vendedor</v>
        <stp/>
        <stp>T&amp;T1</stp>
        <stp>AGR</stp>
        <stp>179</stp>
        <tr r="J187" s="1"/>
      </tp>
      <tp t="s">
        <v>Comprador</v>
        <stp/>
        <stp>T&amp;T0</stp>
        <stp>AGR</stp>
        <stp>179</stp>
        <tr r="D187" s="1"/>
      </tp>
      <tp t="s">
        <v>Vendedor</v>
        <stp/>
        <stp>T&amp;T1</stp>
        <stp>AGR</stp>
        <stp>178</stp>
        <tr r="J186" s="1"/>
      </tp>
      <tp t="s">
        <v>Comprador</v>
        <stp/>
        <stp>T&amp;T0</stp>
        <stp>AGR</stp>
        <stp>166</stp>
        <tr r="D174" s="1"/>
      </tp>
      <tp t="s">
        <v>19:03:28.106</v>
        <stp/>
        <stp>T&amp;T0</stp>
        <stp>DAT</stp>
        <stp>400</stp>
        <tr r="A408" s="1"/>
      </tp>
      <tp t="s">
        <v>Vendedor</v>
        <stp/>
        <stp>T&amp;T1</stp>
        <stp>AGR</stp>
        <stp>167</stp>
        <tr r="J175" s="1"/>
      </tp>
      <tp t="s">
        <v>19:03:59.565</v>
        <stp/>
        <stp>T&amp;T1</stp>
        <stp>DAT</stp>
        <stp>401</stp>
        <tr r="G409" s="1"/>
      </tp>
      <tp t="s">
        <v>Comprador</v>
        <stp/>
        <stp>T&amp;T0</stp>
        <stp>AGR</stp>
        <stp>167</stp>
        <tr r="D175" s="1"/>
      </tp>
      <tp t="s">
        <v>19:03:28.106</v>
        <stp/>
        <stp>T&amp;T0</stp>
        <stp>DAT</stp>
        <stp>401</stp>
        <tr r="A409" s="1"/>
      </tp>
      <tp t="s">
        <v>Vendedor</v>
        <stp/>
        <stp>T&amp;T1</stp>
        <stp>AGR</stp>
        <stp>166</stp>
        <tr r="J174" s="1"/>
      </tp>
      <tp t="s">
        <v>19:04:01.085</v>
        <stp/>
        <stp>T&amp;T1</stp>
        <stp>DAT</stp>
        <stp>400</stp>
        <tr r="G408" s="1"/>
      </tp>
      <tp t="s">
        <v>Comprador</v>
        <stp/>
        <stp>T&amp;T0</stp>
        <stp>AGR</stp>
        <stp>164</stp>
        <tr r="D172" s="1"/>
      </tp>
      <tp t="s">
        <v>19:03:28.106</v>
        <stp/>
        <stp>T&amp;T0</stp>
        <stp>DAT</stp>
        <stp>402</stp>
        <tr r="A410" s="1"/>
      </tp>
      <tp t="s">
        <v>Vendedor</v>
        <stp/>
        <stp>T&amp;T1</stp>
        <stp>AGR</stp>
        <stp>165</stp>
        <tr r="J173" s="1"/>
      </tp>
      <tp t="s">
        <v>19:03:58.284</v>
        <stp/>
        <stp>T&amp;T1</stp>
        <stp>DAT</stp>
        <stp>403</stp>
        <tr r="G411" s="1"/>
      </tp>
      <tp t="s">
        <v>Comprador</v>
        <stp/>
        <stp>T&amp;T0</stp>
        <stp>AGR</stp>
        <stp>165</stp>
        <tr r="D173" s="1"/>
      </tp>
      <tp t="s">
        <v>19:03:28.106</v>
        <stp/>
        <stp>T&amp;T0</stp>
        <stp>DAT</stp>
        <stp>403</stp>
        <tr r="A411" s="1"/>
      </tp>
      <tp t="s">
        <v>Vendedor</v>
        <stp/>
        <stp>T&amp;T1</stp>
        <stp>AGR</stp>
        <stp>164</stp>
        <tr r="J172" s="1"/>
      </tp>
      <tp t="s">
        <v>19:03:59.174</v>
        <stp/>
        <stp>T&amp;T1</stp>
        <stp>DAT</stp>
        <stp>402</stp>
        <tr r="G410" s="1"/>
      </tp>
      <tp t="s">
        <v>Comprador</v>
        <stp/>
        <stp>T&amp;T0</stp>
        <stp>AGR</stp>
        <stp>162</stp>
        <tr r="D170" s="1"/>
      </tp>
      <tp t="s">
        <v>19:03:28.106</v>
        <stp/>
        <stp>T&amp;T0</stp>
        <stp>DAT</stp>
        <stp>404</stp>
        <tr r="A412" s="1"/>
      </tp>
      <tp t="s">
        <v>Vendedor</v>
        <stp/>
        <stp>T&amp;T1</stp>
        <stp>AGR</stp>
        <stp>163</stp>
        <tr r="J171" s="1"/>
      </tp>
      <tp t="s">
        <v>19:03:56.836</v>
        <stp/>
        <stp>T&amp;T1</stp>
        <stp>DAT</stp>
        <stp>405</stp>
        <tr r="G413" s="1"/>
      </tp>
      <tp t="s">
        <v>Comprador</v>
        <stp/>
        <stp>T&amp;T0</stp>
        <stp>AGR</stp>
        <stp>163</stp>
        <tr r="D171" s="1"/>
      </tp>
      <tp t="s">
        <v>19:03:26.961</v>
        <stp/>
        <stp>T&amp;T0</stp>
        <stp>DAT</stp>
        <stp>405</stp>
        <tr r="A413" s="1"/>
      </tp>
      <tp t="s">
        <v>Vendedor</v>
        <stp/>
        <stp>T&amp;T1</stp>
        <stp>AGR</stp>
        <stp>162</stp>
        <tr r="J170" s="1"/>
      </tp>
      <tp t="s">
        <v>19:03:57.581</v>
        <stp/>
        <stp>T&amp;T1</stp>
        <stp>DAT</stp>
        <stp>404</stp>
        <tr r="G412" s="1"/>
      </tp>
      <tp t="s">
        <v>Comprador</v>
        <stp/>
        <stp>T&amp;T0</stp>
        <stp>AGR</stp>
        <stp>160</stp>
        <tr r="D168" s="1"/>
      </tp>
      <tp t="s">
        <v>19:03:25.113</v>
        <stp/>
        <stp>T&amp;T0</stp>
        <stp>DAT</stp>
        <stp>406</stp>
        <tr r="A414" s="1"/>
      </tp>
      <tp t="s">
        <v>Vendedor</v>
        <stp/>
        <stp>T&amp;T1</stp>
        <stp>AGR</stp>
        <stp>161</stp>
        <tr r="J169" s="1"/>
      </tp>
      <tp t="s">
        <v>19:03:56.834</v>
        <stp/>
        <stp>T&amp;T1</stp>
        <stp>DAT</stp>
        <stp>407</stp>
        <tr r="G415" s="1"/>
      </tp>
      <tp t="s">
        <v>Comprador</v>
        <stp/>
        <stp>T&amp;T0</stp>
        <stp>AGR</stp>
        <stp>161</stp>
        <tr r="D169" s="1"/>
      </tp>
      <tp t="s">
        <v>19:03:23.976</v>
        <stp/>
        <stp>T&amp;T0</stp>
        <stp>DAT</stp>
        <stp>407</stp>
        <tr r="A415" s="1"/>
      </tp>
      <tp t="s">
        <v>Vendedor</v>
        <stp/>
        <stp>T&amp;T1</stp>
        <stp>AGR</stp>
        <stp>160</stp>
        <tr r="J168" s="1"/>
      </tp>
      <tp t="s">
        <v>19:03:56.834</v>
        <stp/>
        <stp>T&amp;T1</stp>
        <stp>DAT</stp>
        <stp>406</stp>
        <tr r="G414" s="1"/>
      </tp>
      <tp t="s">
        <v>19:03:23.976</v>
        <stp/>
        <stp>T&amp;T0</stp>
        <stp>DAT</stp>
        <stp>408</stp>
        <tr r="A416" s="1"/>
      </tp>
      <tp t="s">
        <v>19:03:56.134</v>
        <stp/>
        <stp>T&amp;T1</stp>
        <stp>DAT</stp>
        <stp>409</stp>
        <tr r="G417" s="1"/>
      </tp>
      <tp t="s">
        <v>19:03:23.262</v>
        <stp/>
        <stp>T&amp;T0</stp>
        <stp>DAT</stp>
        <stp>409</stp>
        <tr r="A417" s="1"/>
      </tp>
      <tp t="s">
        <v>19:03:56.834</v>
        <stp/>
        <stp>T&amp;T1</stp>
        <stp>DAT</stp>
        <stp>408</stp>
        <tr r="G416" s="1"/>
      </tp>
      <tp t="s">
        <v>Comprador</v>
        <stp/>
        <stp>T&amp;T0</stp>
        <stp>AGR</stp>
        <stp>168</stp>
        <tr r="D176" s="1"/>
      </tp>
      <tp t="s">
        <v>Vendedor</v>
        <stp/>
        <stp>T&amp;T1</stp>
        <stp>AGR</stp>
        <stp>169</stp>
        <tr r="J177" s="1"/>
      </tp>
      <tp t="s">
        <v>Comprador</v>
        <stp/>
        <stp>T&amp;T0</stp>
        <stp>AGR</stp>
        <stp>169</stp>
        <tr r="D177" s="1"/>
      </tp>
      <tp t="s">
        <v>Vendedor</v>
        <stp/>
        <stp>T&amp;T1</stp>
        <stp>AGR</stp>
        <stp>168</stp>
        <tr r="J176" s="1"/>
      </tp>
      <tp t="s">
        <v>Comprador</v>
        <stp/>
        <stp>T&amp;T0</stp>
        <stp>AGR</stp>
        <stp>156</stp>
        <tr r="D164" s="1"/>
      </tp>
      <tp t="s">
        <v>19:03:13.055</v>
        <stp/>
        <stp>T&amp;T0</stp>
        <stp>DAT</stp>
        <stp>430</stp>
        <tr r="A438" s="1"/>
      </tp>
      <tp t="s">
        <v>Vendedor</v>
        <stp/>
        <stp>T&amp;T1</stp>
        <stp>AGR</stp>
        <stp>157</stp>
        <tr r="J165" s="1"/>
      </tp>
      <tp t="s">
        <v>19:03:45.823</v>
        <stp/>
        <stp>T&amp;T1</stp>
        <stp>DAT</stp>
        <stp>431</stp>
        <tr r="G439" s="1"/>
      </tp>
      <tp t="s">
        <v>Comprador</v>
        <stp/>
        <stp>T&amp;T0</stp>
        <stp>AGR</stp>
        <stp>157</stp>
        <tr r="D165" s="1"/>
      </tp>
      <tp t="s">
        <v>19:03:12.505</v>
        <stp/>
        <stp>T&amp;T0</stp>
        <stp>DAT</stp>
        <stp>431</stp>
        <tr r="A439" s="1"/>
      </tp>
      <tp t="s">
        <v>Vendedor</v>
        <stp/>
        <stp>T&amp;T1</stp>
        <stp>AGR</stp>
        <stp>156</stp>
        <tr r="J164" s="1"/>
      </tp>
      <tp t="s">
        <v>19:03:46.205</v>
        <stp/>
        <stp>T&amp;T1</stp>
        <stp>DAT</stp>
        <stp>430</stp>
        <tr r="G438" s="1"/>
      </tp>
      <tp t="s">
        <v>Comprador</v>
        <stp/>
        <stp>T&amp;T0</stp>
        <stp>AGR</stp>
        <stp>154</stp>
        <tr r="D162" s="1"/>
      </tp>
      <tp t="s">
        <v>19:03:12.505</v>
        <stp/>
        <stp>T&amp;T0</stp>
        <stp>DAT</stp>
        <stp>432</stp>
        <tr r="A440" s="1"/>
      </tp>
      <tp t="s">
        <v>Vendedor</v>
        <stp/>
        <stp>T&amp;T1</stp>
        <stp>AGR</stp>
        <stp>155</stp>
        <tr r="J163" s="1"/>
      </tp>
      <tp t="s">
        <v>19:03:43.792</v>
        <stp/>
        <stp>T&amp;T1</stp>
        <stp>DAT</stp>
        <stp>433</stp>
        <tr r="G441" s="1"/>
      </tp>
      <tp t="s">
        <v>Comprador</v>
        <stp/>
        <stp>T&amp;T0</stp>
        <stp>AGR</stp>
        <stp>155</stp>
        <tr r="D163" s="1"/>
      </tp>
      <tp t="s">
        <v>19:03:12.505</v>
        <stp/>
        <stp>T&amp;T0</stp>
        <stp>DAT</stp>
        <stp>433</stp>
        <tr r="A441" s="1"/>
      </tp>
      <tp t="s">
        <v>Vendedor</v>
        <stp/>
        <stp>T&amp;T1</stp>
        <stp>AGR</stp>
        <stp>154</stp>
        <tr r="J162" s="1"/>
      </tp>
      <tp t="s">
        <v>19:03:45.456</v>
        <stp/>
        <stp>T&amp;T1</stp>
        <stp>DAT</stp>
        <stp>432</stp>
        <tr r="G440" s="1"/>
      </tp>
      <tp t="s">
        <v>Comprador</v>
        <stp/>
        <stp>T&amp;T0</stp>
        <stp>AGR</stp>
        <stp>152</stp>
        <tr r="D160" s="1"/>
      </tp>
      <tp t="s">
        <v>19:03:12.064</v>
        <stp/>
        <stp>T&amp;T0</stp>
        <stp>DAT</stp>
        <stp>434</stp>
        <tr r="A442" s="1"/>
      </tp>
      <tp t="s">
        <v>Vendedor</v>
        <stp/>
        <stp>T&amp;T1</stp>
        <stp>AGR</stp>
        <stp>153</stp>
        <tr r="J161" s="1"/>
      </tp>
      <tp t="s">
        <v>19:03:42.024</v>
        <stp/>
        <stp>T&amp;T1</stp>
        <stp>DAT</stp>
        <stp>435</stp>
        <tr r="G443" s="1"/>
      </tp>
      <tp t="s">
        <v>Comprador</v>
        <stp/>
        <stp>T&amp;T0</stp>
        <stp>AGR</stp>
        <stp>153</stp>
        <tr r="D161" s="1"/>
      </tp>
      <tp t="s">
        <v>19:03:12.064</v>
        <stp/>
        <stp>T&amp;T0</stp>
        <stp>DAT</stp>
        <stp>435</stp>
        <tr r="A443" s="1"/>
      </tp>
      <tp t="s">
        <v>Vendedor</v>
        <stp/>
        <stp>T&amp;T1</stp>
        <stp>AGR</stp>
        <stp>152</stp>
        <tr r="J160" s="1"/>
      </tp>
      <tp t="s">
        <v>19:03:42.959</v>
        <stp/>
        <stp>T&amp;T1</stp>
        <stp>DAT</stp>
        <stp>434</stp>
        <tr r="G442" s="1"/>
      </tp>
      <tp t="s">
        <v>Comprador</v>
        <stp/>
        <stp>T&amp;T0</stp>
        <stp>AGR</stp>
        <stp>150</stp>
        <tr r="D158" s="1"/>
      </tp>
      <tp t="s">
        <v>19:03:12.062</v>
        <stp/>
        <stp>T&amp;T0</stp>
        <stp>DAT</stp>
        <stp>436</stp>
        <tr r="A444" s="1"/>
      </tp>
      <tp t="s">
        <v>Vendedor</v>
        <stp/>
        <stp>T&amp;T1</stp>
        <stp>AGR</stp>
        <stp>151</stp>
        <tr r="J159" s="1"/>
      </tp>
      <tp t="s">
        <v>19:03:41.171</v>
        <stp/>
        <stp>T&amp;T1</stp>
        <stp>DAT</stp>
        <stp>437</stp>
        <tr r="G445" s="1"/>
      </tp>
      <tp t="s">
        <v>Comprador</v>
        <stp/>
        <stp>T&amp;T0</stp>
        <stp>AGR</stp>
        <stp>151</stp>
        <tr r="D159" s="1"/>
      </tp>
      <tp t="s">
        <v>19:03:10.860</v>
        <stp/>
        <stp>T&amp;T0</stp>
        <stp>DAT</stp>
        <stp>437</stp>
        <tr r="A445" s="1"/>
      </tp>
      <tp t="s">
        <v>Vendedor</v>
        <stp/>
        <stp>T&amp;T1</stp>
        <stp>AGR</stp>
        <stp>150</stp>
        <tr r="J158" s="1"/>
      </tp>
      <tp t="s">
        <v>19:03:41.171</v>
        <stp/>
        <stp>T&amp;T1</stp>
        <stp>DAT</stp>
        <stp>436</stp>
        <tr r="G444" s="1"/>
      </tp>
      <tp t="s">
        <v>19:03:10.332</v>
        <stp/>
        <stp>T&amp;T0</stp>
        <stp>DAT</stp>
        <stp>438</stp>
        <tr r="A446" s="1"/>
      </tp>
      <tp t="s">
        <v>19:03:39.925</v>
        <stp/>
        <stp>T&amp;T1</stp>
        <stp>DAT</stp>
        <stp>439</stp>
        <tr r="G447" s="1"/>
      </tp>
      <tp t="s">
        <v>19:03:10.332</v>
        <stp/>
        <stp>T&amp;T0</stp>
        <stp>DAT</stp>
        <stp>439</stp>
        <tr r="A447" s="1"/>
      </tp>
      <tp t="s">
        <v>19:03:40.486</v>
        <stp/>
        <stp>T&amp;T1</stp>
        <stp>DAT</stp>
        <stp>438</stp>
        <tr r="G446" s="1"/>
      </tp>
      <tp t="s">
        <v>Comprador</v>
        <stp/>
        <stp>T&amp;T0</stp>
        <stp>AGR</stp>
        <stp>158</stp>
        <tr r="D166" s="1"/>
      </tp>
      <tp t="s">
        <v>Vendedor</v>
        <stp/>
        <stp>T&amp;T1</stp>
        <stp>AGR</stp>
        <stp>159</stp>
        <tr r="J167" s="1"/>
      </tp>
      <tp t="s">
        <v>Comprador</v>
        <stp/>
        <stp>T&amp;T0</stp>
        <stp>AGR</stp>
        <stp>159</stp>
        <tr r="D167" s="1"/>
      </tp>
      <tp t="s">
        <v>Vendedor</v>
        <stp/>
        <stp>T&amp;T1</stp>
        <stp>AGR</stp>
        <stp>158</stp>
        <tr r="J166" s="1"/>
      </tp>
      <tp t="s">
        <v>Comprador</v>
        <stp/>
        <stp>T&amp;T0</stp>
        <stp>AGR</stp>
        <stp>146</stp>
        <tr r="D154" s="1"/>
      </tp>
      <tp t="s">
        <v>19:03:19.499</v>
        <stp/>
        <stp>T&amp;T0</stp>
        <stp>DAT</stp>
        <stp>420</stp>
        <tr r="A428" s="1"/>
      </tp>
      <tp t="s">
        <v>Vendedor</v>
        <stp/>
        <stp>T&amp;T1</stp>
        <stp>AGR</stp>
        <stp>147</stp>
        <tr r="J155" s="1"/>
      </tp>
      <tp t="s">
        <v>19:03:49.141</v>
        <stp/>
        <stp>T&amp;T1</stp>
        <stp>DAT</stp>
        <stp>421</stp>
        <tr r="G429" s="1"/>
      </tp>
      <tp t="s">
        <v>Comprador</v>
        <stp/>
        <stp>T&amp;T0</stp>
        <stp>AGR</stp>
        <stp>147</stp>
        <tr r="D155" s="1"/>
      </tp>
      <tp t="s">
        <v>19:03:19.499</v>
        <stp/>
        <stp>T&amp;T0</stp>
        <stp>DAT</stp>
        <stp>421</stp>
        <tr r="A429" s="1"/>
      </tp>
      <tp t="s">
        <v>Vendedor</v>
        <stp/>
        <stp>T&amp;T1</stp>
        <stp>AGR</stp>
        <stp>146</stp>
        <tr r="J154" s="1"/>
      </tp>
      <tp t="s">
        <v>19:03:49.764</v>
        <stp/>
        <stp>T&amp;T1</stp>
        <stp>DAT</stp>
        <stp>420</stp>
        <tr r="G428" s="1"/>
      </tp>
      <tp t="s">
        <v>Comprador</v>
        <stp/>
        <stp>T&amp;T0</stp>
        <stp>AGR</stp>
        <stp>144</stp>
        <tr r="D152" s="1"/>
      </tp>
      <tp t="s">
        <v>19:03:17.712</v>
        <stp/>
        <stp>T&amp;T0</stp>
        <stp>DAT</stp>
        <stp>422</stp>
        <tr r="A430" s="1"/>
      </tp>
      <tp t="s">
        <v>Vendedor</v>
        <stp/>
        <stp>T&amp;T1</stp>
        <stp>AGR</stp>
        <stp>145</stp>
        <tr r="J153" s="1"/>
      </tp>
      <tp t="s">
        <v>19:03:48.094</v>
        <stp/>
        <stp>T&amp;T1</stp>
        <stp>DAT</stp>
        <stp>423</stp>
        <tr r="G431" s="1"/>
      </tp>
      <tp t="s">
        <v>Comprador</v>
        <stp/>
        <stp>T&amp;T0</stp>
        <stp>AGR</stp>
        <stp>145</stp>
        <tr r="D153" s="1"/>
      </tp>
      <tp t="s">
        <v>19:03:17.712</v>
        <stp/>
        <stp>T&amp;T0</stp>
        <stp>DAT</stp>
        <stp>423</stp>
        <tr r="A431" s="1"/>
      </tp>
      <tp t="s">
        <v>Vendedor</v>
        <stp/>
        <stp>T&amp;T1</stp>
        <stp>AGR</stp>
        <stp>144</stp>
        <tr r="J152" s="1"/>
      </tp>
      <tp t="s">
        <v>19:03:48.941</v>
        <stp/>
        <stp>T&amp;T1</stp>
        <stp>DAT</stp>
        <stp>422</stp>
        <tr r="G430" s="1"/>
      </tp>
      <tp t="s">
        <v>Comprador</v>
        <stp/>
        <stp>T&amp;T0</stp>
        <stp>AGR</stp>
        <stp>142</stp>
        <tr r="D150" s="1"/>
      </tp>
      <tp t="s">
        <v>19:03:15.858</v>
        <stp/>
        <stp>T&amp;T0</stp>
        <stp>DAT</stp>
        <stp>424</stp>
        <tr r="A432" s="1"/>
      </tp>
      <tp t="s">
        <v>Vendedor</v>
        <stp/>
        <stp>T&amp;T1</stp>
        <stp>AGR</stp>
        <stp>143</stp>
        <tr r="J151" s="1"/>
      </tp>
      <tp t="s">
        <v>19:03:47.850</v>
        <stp/>
        <stp>T&amp;T1</stp>
        <stp>DAT</stp>
        <stp>425</stp>
        <tr r="G433" s="1"/>
      </tp>
      <tp t="s">
        <v>Comprador</v>
        <stp/>
        <stp>T&amp;T0</stp>
        <stp>AGR</stp>
        <stp>143</stp>
        <tr r="D151" s="1"/>
      </tp>
      <tp t="s">
        <v>19:03:15.858</v>
        <stp/>
        <stp>T&amp;T0</stp>
        <stp>DAT</stp>
        <stp>425</stp>
        <tr r="A433" s="1"/>
      </tp>
      <tp t="s">
        <v>Vendedor</v>
        <stp/>
        <stp>T&amp;T1</stp>
        <stp>AGR</stp>
        <stp>142</stp>
        <tr r="J150" s="1"/>
      </tp>
      <tp t="s">
        <v>19:03:47.850</v>
        <stp/>
        <stp>T&amp;T1</stp>
        <stp>DAT</stp>
        <stp>424</stp>
        <tr r="G432" s="1"/>
      </tp>
      <tp t="s">
        <v>Comprador</v>
        <stp/>
        <stp>T&amp;T0</stp>
        <stp>AGR</stp>
        <stp>140</stp>
        <tr r="D148" s="1"/>
      </tp>
      <tp t="s">
        <v>19:03:15.456</v>
        <stp/>
        <stp>T&amp;T0</stp>
        <stp>DAT</stp>
        <stp>426</stp>
        <tr r="A434" s="1"/>
      </tp>
      <tp t="s">
        <v>Vendedor</v>
        <stp/>
        <stp>T&amp;T1</stp>
        <stp>AGR</stp>
        <stp>141</stp>
        <tr r="J149" s="1"/>
      </tp>
      <tp t="s">
        <v>19:03:47.850</v>
        <stp/>
        <stp>T&amp;T1</stp>
        <stp>DAT</stp>
        <stp>427</stp>
        <tr r="G435" s="1"/>
      </tp>
      <tp t="s">
        <v>Comprador</v>
        <stp/>
        <stp>T&amp;T0</stp>
        <stp>AGR</stp>
        <stp>141</stp>
        <tr r="D149" s="1"/>
      </tp>
      <tp t="s">
        <v>19:03:14.827</v>
        <stp/>
        <stp>T&amp;T0</stp>
        <stp>DAT</stp>
        <stp>427</stp>
        <tr r="A435" s="1"/>
      </tp>
      <tp t="s">
        <v>Vendedor</v>
        <stp/>
        <stp>T&amp;T1</stp>
        <stp>AGR</stp>
        <stp>140</stp>
        <tr r="J148" s="1"/>
      </tp>
      <tp t="s">
        <v>19:03:47.850</v>
        <stp/>
        <stp>T&amp;T1</stp>
        <stp>DAT</stp>
        <stp>426</stp>
        <tr r="G434" s="1"/>
      </tp>
      <tp t="s">
        <v>19:03:14.008</v>
        <stp/>
        <stp>T&amp;T0</stp>
        <stp>DAT</stp>
        <stp>428</stp>
        <tr r="A436" s="1"/>
      </tp>
      <tp t="s">
        <v>19:03:46.460</v>
        <stp/>
        <stp>T&amp;T1</stp>
        <stp>DAT</stp>
        <stp>429</stp>
        <tr r="G437" s="1"/>
      </tp>
      <tp t="s">
        <v>19:03:13.078</v>
        <stp/>
        <stp>T&amp;T0</stp>
        <stp>DAT</stp>
        <stp>429</stp>
        <tr r="A437" s="1"/>
      </tp>
      <tp t="s">
        <v>19:03:46.614</v>
        <stp/>
        <stp>T&amp;T1</stp>
        <stp>DAT</stp>
        <stp>428</stp>
        <tr r="G436" s="1"/>
      </tp>
      <tp t="s">
        <v>Comprador</v>
        <stp/>
        <stp>T&amp;T0</stp>
        <stp>AGR</stp>
        <stp>148</stp>
        <tr r="D156" s="1"/>
      </tp>
      <tp t="s">
        <v>Vendedor</v>
        <stp/>
        <stp>T&amp;T1</stp>
        <stp>AGR</stp>
        <stp>149</stp>
        <tr r="J157" s="1"/>
      </tp>
      <tp t="s">
        <v>Comprador</v>
        <stp/>
        <stp>T&amp;T0</stp>
        <stp>AGR</stp>
        <stp>149</stp>
        <tr r="D157" s="1"/>
      </tp>
      <tp t="s">
        <v>Vendedor</v>
        <stp/>
        <stp>T&amp;T1</stp>
        <stp>AGR</stp>
        <stp>148</stp>
        <tr r="J156" s="1"/>
      </tp>
      <tp t="s">
        <v>19:05:09.292</v>
        <stp/>
        <stp>T&amp;T0</stp>
        <stp>DAT</stp>
        <stp>290</stp>
        <tr r="A298" s="1"/>
      </tp>
      <tp t="s">
        <v>19:05:19.891</v>
        <stp/>
        <stp>T&amp;T1</stp>
        <stp>DAT</stp>
        <stp>291</stp>
        <tr r="G299" s="1"/>
      </tp>
      <tp t="s">
        <v>19:05:09.292</v>
        <stp/>
        <stp>T&amp;T0</stp>
        <stp>DAT</stp>
        <stp>291</stp>
        <tr r="A299" s="1"/>
      </tp>
      <tp t="s">
        <v>19:05:19.916</v>
        <stp/>
        <stp>T&amp;T1</stp>
        <stp>DAT</stp>
        <stp>290</stp>
        <tr r="G298" s="1"/>
      </tp>
      <tp t="s">
        <v>19:05:08.268</v>
        <stp/>
        <stp>T&amp;T0</stp>
        <stp>DAT</stp>
        <stp>292</stp>
        <tr r="A300" s="1"/>
      </tp>
      <tp t="s">
        <v>19:05:18.666</v>
        <stp/>
        <stp>T&amp;T1</stp>
        <stp>DAT</stp>
        <stp>293</stp>
        <tr r="G301" s="1"/>
      </tp>
      <tp t="s">
        <v>19:05:08.167</v>
        <stp/>
        <stp>T&amp;T0</stp>
        <stp>DAT</stp>
        <stp>293</stp>
        <tr r="A301" s="1"/>
      </tp>
      <tp t="s">
        <v>19:05:19.528</v>
        <stp/>
        <stp>T&amp;T1</stp>
        <stp>DAT</stp>
        <stp>292</stp>
        <tr r="G300" s="1"/>
      </tp>
      <tp t="s">
        <v>19:05:07.925</v>
        <stp/>
        <stp>T&amp;T0</stp>
        <stp>DAT</stp>
        <stp>294</stp>
        <tr r="A302" s="1"/>
      </tp>
      <tp t="s">
        <v>19:05:18.327</v>
        <stp/>
        <stp>T&amp;T1</stp>
        <stp>DAT</stp>
        <stp>295</stp>
        <tr r="G303" s="1"/>
      </tp>
      <tp t="s">
        <v>19:05:07.086</v>
        <stp/>
        <stp>T&amp;T0</stp>
        <stp>DAT</stp>
        <stp>295</stp>
        <tr r="A303" s="1"/>
      </tp>
      <tp t="s">
        <v>19:05:18.473</v>
        <stp/>
        <stp>T&amp;T1</stp>
        <stp>DAT</stp>
        <stp>294</stp>
        <tr r="G302" s="1"/>
      </tp>
      <tp t="s">
        <v>19:05:06.990</v>
        <stp/>
        <stp>T&amp;T0</stp>
        <stp>DAT</stp>
        <stp>296</stp>
        <tr r="A304" s="1"/>
      </tp>
      <tp t="s">
        <v>19:05:18.327</v>
        <stp/>
        <stp>T&amp;T1</stp>
        <stp>DAT</stp>
        <stp>297</stp>
        <tr r="G305" s="1"/>
      </tp>
      <tp t="s">
        <v>19:05:06.966</v>
        <stp/>
        <stp>T&amp;T0</stp>
        <stp>DAT</stp>
        <stp>297</stp>
        <tr r="A305" s="1"/>
      </tp>
      <tp t="s">
        <v>19:05:18.327</v>
        <stp/>
        <stp>T&amp;T1</stp>
        <stp>DAT</stp>
        <stp>296</stp>
        <tr r="G304" s="1"/>
      </tp>
      <tp t="s">
        <v>19:05:06.966</v>
        <stp/>
        <stp>T&amp;T0</stp>
        <stp>DAT</stp>
        <stp>298</stp>
        <tr r="A306" s="1"/>
      </tp>
      <tp t="s">
        <v>19:05:15.241</v>
        <stp/>
        <stp>T&amp;T1</stp>
        <stp>DAT</stp>
        <stp>299</stp>
        <tr r="G307" s="1"/>
      </tp>
      <tp t="s">
        <v>19:05:06.785</v>
        <stp/>
        <stp>T&amp;T0</stp>
        <stp>DAT</stp>
        <stp>299</stp>
        <tr r="A307" s="1"/>
      </tp>
      <tp t="s">
        <v>19:05:17.228</v>
        <stp/>
        <stp>T&amp;T1</stp>
        <stp>DAT</stp>
        <stp>298</stp>
        <tr r="G306" s="1"/>
      </tp>
      <tp t="s">
        <v>19:05:18.141</v>
        <stp/>
        <stp>T&amp;T0</stp>
        <stp>DAT</stp>
        <stp>280</stp>
        <tr r="A288" s="1"/>
      </tp>
      <tp t="s">
        <v>19:05:25.001</v>
        <stp/>
        <stp>T&amp;T1</stp>
        <stp>DAT</stp>
        <stp>281</stp>
        <tr r="G289" s="1"/>
      </tp>
      <tp t="s">
        <v>19:05:16.367</v>
        <stp/>
        <stp>T&amp;T0</stp>
        <stp>DAT</stp>
        <stp>281</stp>
        <tr r="A289" s="1"/>
      </tp>
      <tp t="s">
        <v>19:05:25.001</v>
        <stp/>
        <stp>T&amp;T1</stp>
        <stp>DAT</stp>
        <stp>280</stp>
        <tr r="G288" s="1"/>
      </tp>
      <tp t="s">
        <v>19:05:15.766</v>
        <stp/>
        <stp>T&amp;T0</stp>
        <stp>DAT</stp>
        <stp>282</stp>
        <tr r="A290" s="1"/>
      </tp>
      <tp t="s">
        <v>19:05:24.420</v>
        <stp/>
        <stp>T&amp;T1</stp>
        <stp>DAT</stp>
        <stp>283</stp>
        <tr r="G291" s="1"/>
      </tp>
      <tp t="s">
        <v>19:05:15.645</v>
        <stp/>
        <stp>T&amp;T0</stp>
        <stp>DAT</stp>
        <stp>283</stp>
        <tr r="A291" s="1"/>
      </tp>
      <tp t="s">
        <v>19:05:24.421</v>
        <stp/>
        <stp>T&amp;T1</stp>
        <stp>DAT</stp>
        <stp>282</stp>
        <tr r="G290" s="1"/>
      </tp>
      <tp t="s">
        <v>19:05:15.242</v>
        <stp/>
        <stp>T&amp;T0</stp>
        <stp>DAT</stp>
        <stp>284</stp>
        <tr r="A292" s="1"/>
      </tp>
      <tp t="s">
        <v>19:05:24.389</v>
        <stp/>
        <stp>T&amp;T1</stp>
        <stp>DAT</stp>
        <stp>285</stp>
        <tr r="G293" s="1"/>
      </tp>
      <tp t="s">
        <v>19:05:15.146</v>
        <stp/>
        <stp>T&amp;T0</stp>
        <stp>DAT</stp>
        <stp>285</stp>
        <tr r="A293" s="1"/>
      </tp>
      <tp t="s">
        <v>19:05:24.420</v>
        <stp/>
        <stp>T&amp;T1</stp>
        <stp>DAT</stp>
        <stp>284</stp>
        <tr r="G292" s="1"/>
      </tp>
      <tp t="s">
        <v>19:05:14.980</v>
        <stp/>
        <stp>T&amp;T0</stp>
        <stp>DAT</stp>
        <stp>286</stp>
        <tr r="A294" s="1"/>
      </tp>
      <tp t="s">
        <v>19:05:23.276</v>
        <stp/>
        <stp>T&amp;T1</stp>
        <stp>DAT</stp>
        <stp>287</stp>
        <tr r="G295" s="1"/>
      </tp>
      <tp t="s">
        <v>19:05:11.122</v>
        <stp/>
        <stp>T&amp;T0</stp>
        <stp>DAT</stp>
        <stp>287</stp>
        <tr r="A295" s="1"/>
      </tp>
      <tp t="s">
        <v>19:05:24.388</v>
        <stp/>
        <stp>T&amp;T1</stp>
        <stp>DAT</stp>
        <stp>286</stp>
        <tr r="G294" s="1"/>
      </tp>
      <tp t="s">
        <v>19:05:11.121</v>
        <stp/>
        <stp>T&amp;T0</stp>
        <stp>DAT</stp>
        <stp>288</stp>
        <tr r="A296" s="1"/>
      </tp>
      <tp t="s">
        <v>19:05:20.222</v>
        <stp/>
        <stp>T&amp;T1</stp>
        <stp>DAT</stp>
        <stp>289</stp>
        <tr r="G297" s="1"/>
      </tp>
      <tp t="s">
        <v>19:05:09.716</v>
        <stp/>
        <stp>T&amp;T0</stp>
        <stp>DAT</stp>
        <stp>289</stp>
        <tr r="A297" s="1"/>
      </tp>
      <tp t="s">
        <v>19:05:22.537</v>
        <stp/>
        <stp>T&amp;T1</stp>
        <stp>DAT</stp>
        <stp>288</stp>
        <tr r="G296" s="1"/>
      </tp>
      <tp t="s">
        <v>19:05:43.358</v>
        <stp/>
        <stp>T&amp;T0</stp>
        <stp>DAT</stp>
        <stp>250</stp>
        <tr r="A258" s="1"/>
      </tp>
      <tp t="s">
        <v>19:05:42.966</v>
        <stp/>
        <stp>T&amp;T1</stp>
        <stp>DAT</stp>
        <stp>251</stp>
        <tr r="G259" s="1"/>
      </tp>
      <tp t="s">
        <v>19:05:43.358</v>
        <stp/>
        <stp>T&amp;T0</stp>
        <stp>DAT</stp>
        <stp>251</stp>
        <tr r="A259" s="1"/>
      </tp>
      <tp t="s">
        <v>19:05:42.966</v>
        <stp/>
        <stp>T&amp;T1</stp>
        <stp>DAT</stp>
        <stp>250</stp>
        <tr r="G258" s="1"/>
      </tp>
      <tp t="s">
        <v>19:05:41.302</v>
        <stp/>
        <stp>T&amp;T0</stp>
        <stp>DAT</stp>
        <stp>252</stp>
        <tr r="A260" s="1"/>
      </tp>
      <tp t="s">
        <v>19:05:42.503</v>
        <stp/>
        <stp>T&amp;T1</stp>
        <stp>DAT</stp>
        <stp>253</stp>
        <tr r="G261" s="1"/>
      </tp>
      <tp t="s">
        <v>19:05:41.049</v>
        <stp/>
        <stp>T&amp;T0</stp>
        <stp>DAT</stp>
        <stp>253</stp>
        <tr r="A261" s="1"/>
      </tp>
      <tp t="s">
        <v>19:05:42.966</v>
        <stp/>
        <stp>T&amp;T1</stp>
        <stp>DAT</stp>
        <stp>252</stp>
        <tr r="G260" s="1"/>
      </tp>
      <tp t="s">
        <v>19:05:39.002</v>
        <stp/>
        <stp>T&amp;T0</stp>
        <stp>DAT</stp>
        <stp>254</stp>
        <tr r="A262" s="1"/>
      </tp>
      <tp t="s">
        <v>19:05:40.776</v>
        <stp/>
        <stp>T&amp;T1</stp>
        <stp>DAT</stp>
        <stp>255</stp>
        <tr r="G263" s="1"/>
      </tp>
      <tp t="s">
        <v>19:05:38.180</v>
        <stp/>
        <stp>T&amp;T0</stp>
        <stp>DAT</stp>
        <stp>255</stp>
        <tr r="A263" s="1"/>
      </tp>
      <tp t="s">
        <v>19:05:41.289</v>
        <stp/>
        <stp>T&amp;T1</stp>
        <stp>DAT</stp>
        <stp>254</stp>
        <tr r="G262" s="1"/>
      </tp>
      <tp t="s">
        <v>19:05:38.180</v>
        <stp/>
        <stp>T&amp;T0</stp>
        <stp>DAT</stp>
        <stp>256</stp>
        <tr r="A264" s="1"/>
      </tp>
      <tp t="s">
        <v>19:05:38.941</v>
        <stp/>
        <stp>T&amp;T1</stp>
        <stp>DAT</stp>
        <stp>257</stp>
        <tr r="G265" s="1"/>
      </tp>
      <tp t="s">
        <v>19:05:37.216</v>
        <stp/>
        <stp>T&amp;T0</stp>
        <stp>DAT</stp>
        <stp>257</stp>
        <tr r="A265" s="1"/>
      </tp>
      <tp t="s">
        <v>19:05:39.938</v>
        <stp/>
        <stp>T&amp;T1</stp>
        <stp>DAT</stp>
        <stp>256</stp>
        <tr r="G264" s="1"/>
      </tp>
      <tp t="s">
        <v>19:05:37.216</v>
        <stp/>
        <stp>T&amp;T0</stp>
        <stp>DAT</stp>
        <stp>258</stp>
        <tr r="A266" s="1"/>
      </tp>
      <tp t="s">
        <v>19:05:38.683</v>
        <stp/>
        <stp>T&amp;T1</stp>
        <stp>DAT</stp>
        <stp>259</stp>
        <tr r="G267" s="1"/>
      </tp>
      <tp t="s">
        <v>19:05:34.377</v>
        <stp/>
        <stp>T&amp;T0</stp>
        <stp>DAT</stp>
        <stp>259</stp>
        <tr r="A267" s="1"/>
      </tp>
      <tp t="s">
        <v>19:05:38.941</v>
        <stp/>
        <stp>T&amp;T1</stp>
        <stp>DAT</stp>
        <stp>258</stp>
        <tr r="G266" s="1"/>
      </tp>
      <tp t="s">
        <v>19:05:52.582</v>
        <stp/>
        <stp>T&amp;T0</stp>
        <stp>DAT</stp>
        <stp>240</stp>
        <tr r="A248" s="1"/>
      </tp>
      <tp t="s">
        <v>19:05:48.553</v>
        <stp/>
        <stp>T&amp;T1</stp>
        <stp>DAT</stp>
        <stp>241</stp>
        <tr r="G249" s="1"/>
      </tp>
      <tp t="s">
        <v>19:05:52.116</v>
        <stp/>
        <stp>T&amp;T0</stp>
        <stp>DAT</stp>
        <stp>241</stp>
        <tr r="A249" s="1"/>
      </tp>
      <tp t="s">
        <v>19:05:50.314</v>
        <stp/>
        <stp>T&amp;T1</stp>
        <stp>DAT</stp>
        <stp>240</stp>
        <tr r="G248" s="1"/>
      </tp>
      <tp t="s">
        <v>19:05:51.170</v>
        <stp/>
        <stp>T&amp;T0</stp>
        <stp>DAT</stp>
        <stp>242</stp>
        <tr r="A250" s="1"/>
      </tp>
      <tp t="s">
        <v>19:05:47.249</v>
        <stp/>
        <stp>T&amp;T1</stp>
        <stp>DAT</stp>
        <stp>243</stp>
        <tr r="G251" s="1"/>
      </tp>
      <tp t="s">
        <v>19:05:47.908</v>
        <stp/>
        <stp>T&amp;T0</stp>
        <stp>DAT</stp>
        <stp>243</stp>
        <tr r="A251" s="1"/>
      </tp>
      <tp t="s">
        <v>19:05:47.309</v>
        <stp/>
        <stp>T&amp;T1</stp>
        <stp>DAT</stp>
        <stp>242</stp>
        <tr r="G250" s="1"/>
      </tp>
      <tp t="s">
        <v>19:05:47.249</v>
        <stp/>
        <stp>T&amp;T0</stp>
        <stp>DAT</stp>
        <stp>244</stp>
        <tr r="A252" s="1"/>
      </tp>
      <tp t="s">
        <v>19:05:47.249</v>
        <stp/>
        <stp>T&amp;T1</stp>
        <stp>DAT</stp>
        <stp>245</stp>
        <tr r="G253" s="1"/>
      </tp>
      <tp t="s">
        <v>19:05:47.249</v>
        <stp/>
        <stp>T&amp;T0</stp>
        <stp>DAT</stp>
        <stp>245</stp>
        <tr r="A253" s="1"/>
      </tp>
      <tp t="s">
        <v>19:05:47.249</v>
        <stp/>
        <stp>T&amp;T1</stp>
        <stp>DAT</stp>
        <stp>244</stp>
        <tr r="G252" s="1"/>
      </tp>
      <tp t="s">
        <v>19:05:47.249</v>
        <stp/>
        <stp>T&amp;T0</stp>
        <stp>DAT</stp>
        <stp>246</stp>
        <tr r="A254" s="1"/>
      </tp>
      <tp t="s">
        <v>19:05:44.458</v>
        <stp/>
        <stp>T&amp;T1</stp>
        <stp>DAT</stp>
        <stp>247</stp>
        <tr r="G255" s="1"/>
      </tp>
      <tp t="s">
        <v>19:05:46.594</v>
        <stp/>
        <stp>T&amp;T0</stp>
        <stp>DAT</stp>
        <stp>247</stp>
        <tr r="A255" s="1"/>
      </tp>
      <tp t="s">
        <v>19:05:46.595</v>
        <stp/>
        <stp>T&amp;T1</stp>
        <stp>DAT</stp>
        <stp>246</stp>
        <tr r="G254" s="1"/>
      </tp>
      <tp t="s">
        <v>19:05:43.606</v>
        <stp/>
        <stp>T&amp;T0</stp>
        <stp>DAT</stp>
        <stp>248</stp>
        <tr r="A256" s="1"/>
      </tp>
      <tp t="s">
        <v>19:05:43.469</v>
        <stp/>
        <stp>T&amp;T1</stp>
        <stp>DAT</stp>
        <stp>249</stp>
        <tr r="G257" s="1"/>
      </tp>
      <tp t="s">
        <v>19:05:43.367</v>
        <stp/>
        <stp>T&amp;T0</stp>
        <stp>DAT</stp>
        <stp>249</stp>
        <tr r="A257" s="1"/>
      </tp>
      <tp t="s">
        <v>19:05:43.469</v>
        <stp/>
        <stp>T&amp;T1</stp>
        <stp>DAT</stp>
        <stp>248</stp>
        <tr r="G256" s="1"/>
      </tp>
      <tp t="s">
        <v>19:05:25.000</v>
        <stp/>
        <stp>T&amp;T0</stp>
        <stp>DAT</stp>
        <stp>270</stp>
        <tr r="A278" s="1"/>
      </tp>
      <tp t="s">
        <v>19:05:31.618</v>
        <stp/>
        <stp>T&amp;T1</stp>
        <stp>DAT</stp>
        <stp>271</stp>
        <tr r="G279" s="1"/>
      </tp>
      <tp t="s">
        <v>19:05:24.719</v>
        <stp/>
        <stp>T&amp;T0</stp>
        <stp>DAT</stp>
        <stp>271</stp>
        <tr r="A279" s="1"/>
      </tp>
      <tp t="s">
        <v>19:05:31.806</v>
        <stp/>
        <stp>T&amp;T1</stp>
        <stp>DAT</stp>
        <stp>270</stp>
        <tr r="G278" s="1"/>
      </tp>
      <tp t="s">
        <v>19:05:24.719</v>
        <stp/>
        <stp>T&amp;T0</stp>
        <stp>DAT</stp>
        <stp>272</stp>
        <tr r="A280" s="1"/>
      </tp>
      <tp t="s">
        <v>19:05:31.567</v>
        <stp/>
        <stp>T&amp;T1</stp>
        <stp>DAT</stp>
        <stp>273</stp>
        <tr r="G281" s="1"/>
      </tp>
      <tp t="s">
        <v>19:05:24.719</v>
        <stp/>
        <stp>T&amp;T0</stp>
        <stp>DAT</stp>
        <stp>273</stp>
        <tr r="A281" s="1"/>
      </tp>
      <tp t="s">
        <v>19:05:31.567</v>
        <stp/>
        <stp>T&amp;T1</stp>
        <stp>DAT</stp>
        <stp>272</stp>
        <tr r="G280" s="1"/>
      </tp>
      <tp t="s">
        <v>19:05:24.388</v>
        <stp/>
        <stp>T&amp;T0</stp>
        <stp>DAT</stp>
        <stp>274</stp>
        <tr r="A282" s="1"/>
      </tp>
      <tp t="s">
        <v>19:05:31.152</v>
        <stp/>
        <stp>T&amp;T1</stp>
        <stp>DAT</stp>
        <stp>275</stp>
        <tr r="G283" s="1"/>
      </tp>
      <tp t="s">
        <v>19:05:23.276</v>
        <stp/>
        <stp>T&amp;T0</stp>
        <stp>DAT</stp>
        <stp>275</stp>
        <tr r="A283" s="1"/>
      </tp>
      <tp t="s">
        <v>19:05:31.153</v>
        <stp/>
        <stp>T&amp;T1</stp>
        <stp>DAT</stp>
        <stp>274</stp>
        <tr r="G282" s="1"/>
      </tp>
      <tp t="s">
        <v>19:05:22.046</v>
        <stp/>
        <stp>T&amp;T0</stp>
        <stp>DAT</stp>
        <stp>276</stp>
        <tr r="A284" s="1"/>
      </tp>
      <tp t="s">
        <v>19:05:27.186</v>
        <stp/>
        <stp>T&amp;T1</stp>
        <stp>DAT</stp>
        <stp>277</stp>
        <tr r="G285" s="1"/>
      </tp>
      <tp t="s">
        <v>19:05:19.892</v>
        <stp/>
        <stp>T&amp;T0</stp>
        <stp>DAT</stp>
        <stp>277</stp>
        <tr r="A285" s="1"/>
      </tp>
      <tp t="s">
        <v>19:05:28.277</v>
        <stp/>
        <stp>T&amp;T1</stp>
        <stp>DAT</stp>
        <stp>276</stp>
        <tr r="G284" s="1"/>
      </tp>
      <tp t="s">
        <v>19:05:18.770</v>
        <stp/>
        <stp>T&amp;T0</stp>
        <stp>DAT</stp>
        <stp>278</stp>
        <tr r="A286" s="1"/>
      </tp>
      <tp t="s">
        <v>19:05:26.827</v>
        <stp/>
        <stp>T&amp;T1</stp>
        <stp>DAT</stp>
        <stp>279</stp>
        <tr r="G287" s="1"/>
      </tp>
      <tp t="s">
        <v>19:05:18.473</v>
        <stp/>
        <stp>T&amp;T0</stp>
        <stp>DAT</stp>
        <stp>279</stp>
        <tr r="A287" s="1"/>
      </tp>
      <tp t="s">
        <v>19:05:27.186</v>
        <stp/>
        <stp>T&amp;T1</stp>
        <stp>DAT</stp>
        <stp>278</stp>
        <tr r="G286" s="1"/>
      </tp>
      <tp t="s">
        <v>19:05:34.376</v>
        <stp/>
        <stp>T&amp;T0</stp>
        <stp>DAT</stp>
        <stp>260</stp>
        <tr r="A268" s="1"/>
      </tp>
      <tp t="s">
        <v>19:05:37.215</v>
        <stp/>
        <stp>T&amp;T1</stp>
        <stp>DAT</stp>
        <stp>261</stp>
        <tr r="G269" s="1"/>
      </tp>
      <tp t="s">
        <v>19:05:28.770</v>
        <stp/>
        <stp>T&amp;T0</stp>
        <stp>DAT</stp>
        <stp>261</stp>
        <tr r="A269" s="1"/>
      </tp>
      <tp t="s">
        <v>19:05:38.683</v>
        <stp/>
        <stp>T&amp;T1</stp>
        <stp>DAT</stp>
        <stp>260</stp>
        <tr r="G268" s="1"/>
      </tp>
      <tp t="s">
        <v>19:05:28.707</v>
        <stp/>
        <stp>T&amp;T0</stp>
        <stp>DAT</stp>
        <stp>262</stp>
        <tr r="A270" s="1"/>
      </tp>
      <tp t="s">
        <v>19:05:36.162</v>
        <stp/>
        <stp>T&amp;T1</stp>
        <stp>DAT</stp>
        <stp>263</stp>
        <tr r="G271" s="1"/>
      </tp>
      <tp t="s">
        <v>19:05:28.426</v>
        <stp/>
        <stp>T&amp;T0</stp>
        <stp>DAT</stp>
        <stp>263</stp>
        <tr r="A271" s="1"/>
      </tp>
      <tp t="s">
        <v>19:05:37.200</v>
        <stp/>
        <stp>T&amp;T1</stp>
        <stp>DAT</stp>
        <stp>262</stp>
        <tr r="G270" s="1"/>
      </tp>
      <tp t="s">
        <v>19:05:28.278</v>
        <stp/>
        <stp>T&amp;T0</stp>
        <stp>DAT</stp>
        <stp>264</stp>
        <tr r="A272" s="1"/>
      </tp>
      <tp t="s">
        <v>19:05:36.162</v>
        <stp/>
        <stp>T&amp;T1</stp>
        <stp>DAT</stp>
        <stp>265</stp>
        <tr r="G273" s="1"/>
      </tp>
      <tp t="s">
        <v>19:05:26.828</v>
        <stp/>
        <stp>T&amp;T0</stp>
        <stp>DAT</stp>
        <stp>265</stp>
        <tr r="A273" s="1"/>
      </tp>
      <tp t="s">
        <v>19:05:36.162</v>
        <stp/>
        <stp>T&amp;T1</stp>
        <stp>DAT</stp>
        <stp>264</stp>
        <tr r="G272" s="1"/>
      </tp>
      <tp t="s">
        <v>19:05:26.827</v>
        <stp/>
        <stp>T&amp;T0</stp>
        <stp>DAT</stp>
        <stp>266</stp>
        <tr r="A274" s="1"/>
      </tp>
      <tp t="s">
        <v>19:05:34.376</v>
        <stp/>
        <stp>T&amp;T1</stp>
        <stp>DAT</stp>
        <stp>267</stp>
        <tr r="G275" s="1"/>
      </tp>
      <tp t="s">
        <v>19:05:25.017</v>
        <stp/>
        <stp>T&amp;T0</stp>
        <stp>DAT</stp>
        <stp>267</stp>
        <tr r="A275" s="1"/>
      </tp>
      <tp t="s">
        <v>19:05:34.376</v>
        <stp/>
        <stp>T&amp;T1</stp>
        <stp>DAT</stp>
        <stp>266</stp>
        <tr r="G274" s="1"/>
      </tp>
      <tp t="s">
        <v>19:05:25.000</v>
        <stp/>
        <stp>T&amp;T0</stp>
        <stp>DAT</stp>
        <stp>268</stp>
        <tr r="A276" s="1"/>
      </tp>
      <tp t="s">
        <v>19:05:31.806</v>
        <stp/>
        <stp>T&amp;T1</stp>
        <stp>DAT</stp>
        <stp>269</stp>
        <tr r="G277" s="1"/>
      </tp>
      <tp t="s">
        <v>19:05:25.000</v>
        <stp/>
        <stp>T&amp;T0</stp>
        <stp>DAT</stp>
        <stp>269</stp>
        <tr r="A277" s="1"/>
      </tp>
      <tp t="s">
        <v>19:05:32.502</v>
        <stp/>
        <stp>T&amp;T1</stp>
        <stp>DAT</stp>
        <stp>268</stp>
        <tr r="G276" s="1"/>
      </tp>
      <tp t="s">
        <v>19:06:02.024</v>
        <stp/>
        <stp>T&amp;T0</stp>
        <stp>DAT</stp>
        <stp>210</stp>
        <tr r="A218" s="1"/>
      </tp>
      <tp t="s">
        <v>19:06:03.752</v>
        <stp/>
        <stp>T&amp;T1</stp>
        <stp>DAT</stp>
        <stp>211</stp>
        <tr r="G219" s="1"/>
      </tp>
      <tp t="s">
        <v>19:06:02.024</v>
        <stp/>
        <stp>T&amp;T0</stp>
        <stp>DAT</stp>
        <stp>211</stp>
        <tr r="A219" s="1"/>
      </tp>
      <tp t="s">
        <v>19:06:03.752</v>
        <stp/>
        <stp>T&amp;T1</stp>
        <stp>DAT</stp>
        <stp>210</stp>
        <tr r="G218" s="1"/>
      </tp>
      <tp t="s">
        <v>19:06:02.023</v>
        <stp/>
        <stp>T&amp;T0</stp>
        <stp>DAT</stp>
        <stp>212</stp>
        <tr r="A220" s="1"/>
      </tp>
      <tp t="s">
        <v>19:06:03.699</v>
        <stp/>
        <stp>T&amp;T1</stp>
        <stp>DAT</stp>
        <stp>213</stp>
        <tr r="G221" s="1"/>
      </tp>
      <tp t="s">
        <v>19:06:02.023</v>
        <stp/>
        <stp>T&amp;T0</stp>
        <stp>DAT</stp>
        <stp>213</stp>
        <tr r="A221" s="1"/>
      </tp>
      <tp t="s">
        <v>19:06:03.699</v>
        <stp/>
        <stp>T&amp;T1</stp>
        <stp>DAT</stp>
        <stp>212</stp>
        <tr r="G220" s="1"/>
      </tp>
      <tp t="s">
        <v>19:06:02.023</v>
        <stp/>
        <stp>T&amp;T0</stp>
        <stp>DAT</stp>
        <stp>214</stp>
        <tr r="A222" s="1"/>
      </tp>
      <tp t="s">
        <v>19:06:02.023</v>
        <stp/>
        <stp>T&amp;T1</stp>
        <stp>DAT</stp>
        <stp>215</stp>
        <tr r="G223" s="1"/>
      </tp>
      <tp t="s">
        <v>19:06:02.023</v>
        <stp/>
        <stp>T&amp;T0</stp>
        <stp>DAT</stp>
        <stp>215</stp>
        <tr r="A223" s="1"/>
      </tp>
      <tp t="s">
        <v>19:06:02.024</v>
        <stp/>
        <stp>T&amp;T1</stp>
        <stp>DAT</stp>
        <stp>214</stp>
        <tr r="G222" s="1"/>
      </tp>
      <tp t="s">
        <v>19:06:02.023</v>
        <stp/>
        <stp>T&amp;T0</stp>
        <stp>DAT</stp>
        <stp>216</stp>
        <tr r="A224" s="1"/>
      </tp>
      <tp t="s">
        <v>19:06:02.023</v>
        <stp/>
        <stp>T&amp;T1</stp>
        <stp>DAT</stp>
        <stp>217</stp>
        <tr r="G225" s="1"/>
      </tp>
      <tp t="s">
        <v>19:06:02.023</v>
        <stp/>
        <stp>T&amp;T0</stp>
        <stp>DAT</stp>
        <stp>217</stp>
        <tr r="A225" s="1"/>
      </tp>
      <tp t="s">
        <v>19:06:02.023</v>
        <stp/>
        <stp>T&amp;T1</stp>
        <stp>DAT</stp>
        <stp>216</stp>
        <tr r="G224" s="1"/>
      </tp>
      <tp t="s">
        <v>19:06:01.389</v>
        <stp/>
        <stp>T&amp;T0</stp>
        <stp>DAT</stp>
        <stp>218</stp>
        <tr r="A226" s="1"/>
      </tp>
      <tp t="s">
        <v>19:05:59.230</v>
        <stp/>
        <stp>T&amp;T1</stp>
        <stp>DAT</stp>
        <stp>219</stp>
        <tr r="G227" s="1"/>
      </tp>
      <tp t="s">
        <v>19:06:01.128</v>
        <stp/>
        <stp>T&amp;T0</stp>
        <stp>DAT</stp>
        <stp>219</stp>
        <tr r="A227" s="1"/>
      </tp>
      <tp t="s">
        <v>19:06:01.892</v>
        <stp/>
        <stp>T&amp;T1</stp>
        <stp>DAT</stp>
        <stp>218</stp>
        <tr r="G226" s="1"/>
      </tp>
      <tp t="s">
        <v>19:06:04.597</v>
        <stp/>
        <stp>T&amp;T0</stp>
        <stp>DAT</stp>
        <stp>200</stp>
        <tr r="A208" s="1"/>
      </tp>
      <tp t="s">
        <v>19:06:05.071</v>
        <stp/>
        <stp>T&amp;T1</stp>
        <stp>DAT</stp>
        <stp>201</stp>
        <tr r="G209" s="1"/>
      </tp>
      <tp t="s">
        <v>19:06:03.971</v>
        <stp/>
        <stp>T&amp;T0</stp>
        <stp>DAT</stp>
        <stp>201</stp>
        <tr r="A209" s="1"/>
      </tp>
      <tp t="s">
        <v>19:06:05.568</v>
        <stp/>
        <stp>T&amp;T1</stp>
        <stp>DAT</stp>
        <stp>200</stp>
        <tr r="G208" s="1"/>
      </tp>
      <tp t="s">
        <v>19:06:03.971</v>
        <stp/>
        <stp>T&amp;T0</stp>
        <stp>DAT</stp>
        <stp>202</stp>
        <tr r="A210" s="1"/>
      </tp>
      <tp t="s">
        <v>19:06:04.687</v>
        <stp/>
        <stp>T&amp;T1</stp>
        <stp>DAT</stp>
        <stp>203</stp>
        <tr r="G211" s="1"/>
      </tp>
      <tp t="s">
        <v>19:06:02.745</v>
        <stp/>
        <stp>T&amp;T0</stp>
        <stp>DAT</stp>
        <stp>203</stp>
        <tr r="A211" s="1"/>
      </tp>
      <tp t="s">
        <v>19:06:04.687</v>
        <stp/>
        <stp>T&amp;T1</stp>
        <stp>DAT</stp>
        <stp>202</stp>
        <tr r="G210" s="1"/>
      </tp>
      <tp t="s">
        <v>19:06:02.244</v>
        <stp/>
        <stp>T&amp;T0</stp>
        <stp>DAT</stp>
        <stp>204</stp>
        <tr r="A212" s="1"/>
      </tp>
      <tp t="s">
        <v>19:06:04.466</v>
        <stp/>
        <stp>T&amp;T1</stp>
        <stp>DAT</stp>
        <stp>205</stp>
        <tr r="G213" s="1"/>
      </tp>
      <tp t="s">
        <v>19:06:02.025</v>
        <stp/>
        <stp>T&amp;T0</stp>
        <stp>DAT</stp>
        <stp>205</stp>
        <tr r="A213" s="1"/>
      </tp>
      <tp t="s">
        <v>19:06:04.686</v>
        <stp/>
        <stp>T&amp;T1</stp>
        <stp>DAT</stp>
        <stp>204</stp>
        <tr r="G212" s="1"/>
      </tp>
      <tp t="s">
        <v>19:06:02.025</v>
        <stp/>
        <stp>T&amp;T0</stp>
        <stp>DAT</stp>
        <stp>206</stp>
        <tr r="A214" s="1"/>
      </tp>
      <tp t="s">
        <v>19:06:03.971</v>
        <stp/>
        <stp>T&amp;T1</stp>
        <stp>DAT</stp>
        <stp>207</stp>
        <tr r="G215" s="1"/>
      </tp>
      <tp t="s">
        <v>19:06:02.024</v>
        <stp/>
        <stp>T&amp;T0</stp>
        <stp>DAT</stp>
        <stp>207</stp>
        <tr r="A215" s="1"/>
      </tp>
      <tp t="s">
        <v>19:06:03.971</v>
        <stp/>
        <stp>T&amp;T1</stp>
        <stp>DAT</stp>
        <stp>206</stp>
        <tr r="G214" s="1"/>
      </tp>
      <tp t="s">
        <v>19:06:02.024</v>
        <stp/>
        <stp>T&amp;T0</stp>
        <stp>DAT</stp>
        <stp>208</stp>
        <tr r="A216" s="1"/>
      </tp>
      <tp t="s">
        <v>19:06:03.752</v>
        <stp/>
        <stp>T&amp;T1</stp>
        <stp>DAT</stp>
        <stp>209</stp>
        <tr r="G217" s="1"/>
      </tp>
      <tp t="s">
        <v>19:06:02.024</v>
        <stp/>
        <stp>T&amp;T0</stp>
        <stp>DAT</stp>
        <stp>209</stp>
        <tr r="A217" s="1"/>
      </tp>
      <tp t="s">
        <v>19:06:03.752</v>
        <stp/>
        <stp>T&amp;T1</stp>
        <stp>DAT</stp>
        <stp>208</stp>
        <tr r="G216" s="1"/>
      </tp>
      <tp t="s">
        <v>19:05:59.202</v>
        <stp/>
        <stp>T&amp;T0</stp>
        <stp>DAT</stp>
        <stp>230</stp>
        <tr r="A238" s="1"/>
      </tp>
      <tp t="s">
        <v>19:05:55.817</v>
        <stp/>
        <stp>T&amp;T1</stp>
        <stp>DAT</stp>
        <stp>231</stp>
        <tr r="G239" s="1"/>
      </tp>
      <tp t="s">
        <v>19:05:58.848</v>
        <stp/>
        <stp>T&amp;T0</stp>
        <stp>DAT</stp>
        <stp>231</stp>
        <tr r="A239" s="1"/>
      </tp>
      <tp t="s">
        <v>19:05:55.882</v>
        <stp/>
        <stp>T&amp;T1</stp>
        <stp>DAT</stp>
        <stp>230</stp>
        <tr r="G238" s="1"/>
      </tp>
      <tp t="s">
        <v>19:05:58.280</v>
        <stp/>
        <stp>T&amp;T0</stp>
        <stp>DAT</stp>
        <stp>232</stp>
        <tr r="A240" s="1"/>
      </tp>
      <tp t="s">
        <v>19:05:54.790</v>
        <stp/>
        <stp>T&amp;T1</stp>
        <stp>DAT</stp>
        <stp>233</stp>
        <tr r="G241" s="1"/>
      </tp>
      <tp t="s">
        <v>19:05:56.993</v>
        <stp/>
        <stp>T&amp;T0</stp>
        <stp>DAT</stp>
        <stp>233</stp>
        <tr r="A241" s="1"/>
      </tp>
      <tp t="s">
        <v>19:05:54.987</v>
        <stp/>
        <stp>T&amp;T1</stp>
        <stp>DAT</stp>
        <stp>232</stp>
        <tr r="G240" s="1"/>
      </tp>
      <tp t="s">
        <v>19:05:56.040</v>
        <stp/>
        <stp>T&amp;T0</stp>
        <stp>DAT</stp>
        <stp>234</stp>
        <tr r="A242" s="1"/>
      </tp>
      <tp t="s">
        <v>19:05:53.723</v>
        <stp/>
        <stp>T&amp;T1</stp>
        <stp>DAT</stp>
        <stp>235</stp>
        <tr r="G243" s="1"/>
      </tp>
      <tp t="s">
        <v>19:05:55.325</v>
        <stp/>
        <stp>T&amp;T0</stp>
        <stp>DAT</stp>
        <stp>235</stp>
        <tr r="A243" s="1"/>
      </tp>
      <tp t="s">
        <v>19:05:54.790</v>
        <stp/>
        <stp>T&amp;T1</stp>
        <stp>DAT</stp>
        <stp>234</stp>
        <tr r="G242" s="1"/>
      </tp>
      <tp t="s">
        <v>19:05:54.809</v>
        <stp/>
        <stp>T&amp;T0</stp>
        <stp>DAT</stp>
        <stp>236</stp>
        <tr r="A244" s="1"/>
      </tp>
      <tp t="s">
        <v>19:05:51.353</v>
        <stp/>
        <stp>T&amp;T1</stp>
        <stp>DAT</stp>
        <stp>237</stp>
        <tr r="G245" s="1"/>
      </tp>
      <tp t="s">
        <v>19:05:54.808</v>
        <stp/>
        <stp>T&amp;T0</stp>
        <stp>DAT</stp>
        <stp>237</stp>
        <tr r="A245" s="1"/>
      </tp>
      <tp t="s">
        <v>19:05:52.583</v>
        <stp/>
        <stp>T&amp;T1</stp>
        <stp>DAT</stp>
        <stp>236</stp>
        <tr r="G244" s="1"/>
      </tp>
      <tp t="s">
        <v>19:05:53.724</v>
        <stp/>
        <stp>T&amp;T0</stp>
        <stp>DAT</stp>
        <stp>238</stp>
        <tr r="A246" s="1"/>
      </tp>
      <tp t="s">
        <v>19:05:51.014</v>
        <stp/>
        <stp>T&amp;T1</stp>
        <stp>DAT</stp>
        <stp>239</stp>
        <tr r="G247" s="1"/>
      </tp>
      <tp t="s">
        <v>19:05:53.720</v>
        <stp/>
        <stp>T&amp;T0</stp>
        <stp>DAT</stp>
        <stp>239</stp>
        <tr r="A247" s="1"/>
      </tp>
      <tp t="s">
        <v>19:05:51.247</v>
        <stp/>
        <stp>T&amp;T1</stp>
        <stp>DAT</stp>
        <stp>238</stp>
        <tr r="G246" s="1"/>
      </tp>
      <tp t="s">
        <v>19:06:01.128</v>
        <stp/>
        <stp>T&amp;T0</stp>
        <stp>DAT</stp>
        <stp>220</stp>
        <tr r="A228" s="1"/>
      </tp>
      <tp t="s">
        <v>19:05:59.223</v>
        <stp/>
        <stp>T&amp;T1</stp>
        <stp>DAT</stp>
        <stp>221</stp>
        <tr r="G229" s="1"/>
      </tp>
      <tp t="s">
        <v>19:06:01.128</v>
        <stp/>
        <stp>T&amp;T0</stp>
        <stp>DAT</stp>
        <stp>221</stp>
        <tr r="A229" s="1"/>
      </tp>
      <tp t="s">
        <v>19:05:59.224</v>
        <stp/>
        <stp>T&amp;T1</stp>
        <stp>DAT</stp>
        <stp>220</stp>
        <tr r="G228" s="1"/>
      </tp>
      <tp t="s">
        <v>19:06:01.128</v>
        <stp/>
        <stp>T&amp;T0</stp>
        <stp>DAT</stp>
        <stp>222</stp>
        <tr r="A230" s="1"/>
      </tp>
      <tp t="s">
        <v>19:05:59.203</v>
        <stp/>
        <stp>T&amp;T1</stp>
        <stp>DAT</stp>
        <stp>223</stp>
        <tr r="G231" s="1"/>
      </tp>
      <tp t="s">
        <v>19:06:01.128</v>
        <stp/>
        <stp>T&amp;T0</stp>
        <stp>DAT</stp>
        <stp>223</stp>
        <tr r="A231" s="1"/>
      </tp>
      <tp t="s">
        <v>19:05:59.218</v>
        <stp/>
        <stp>T&amp;T1</stp>
        <stp>DAT</stp>
        <stp>222</stp>
        <tr r="G230" s="1"/>
      </tp>
      <tp t="s">
        <v>19:06:01.127</v>
        <stp/>
        <stp>T&amp;T0</stp>
        <stp>DAT</stp>
        <stp>224</stp>
        <tr r="A232" s="1"/>
      </tp>
      <tp t="s">
        <v>19:05:56.994</v>
        <stp/>
        <stp>T&amp;T1</stp>
        <stp>DAT</stp>
        <stp>225</stp>
        <tr r="G233" s="1"/>
      </tp>
      <tp t="s">
        <v>19:06:01.127</v>
        <stp/>
        <stp>T&amp;T0</stp>
        <stp>DAT</stp>
        <stp>225</stp>
        <tr r="A233" s="1"/>
      </tp>
      <tp t="s">
        <v>19:05:58.848</v>
        <stp/>
        <stp>T&amp;T1</stp>
        <stp>DAT</stp>
        <stp>224</stp>
        <tr r="G232" s="1"/>
      </tp>
      <tp t="s">
        <v>19:06:00.895</v>
        <stp/>
        <stp>T&amp;T0</stp>
        <stp>DAT</stp>
        <stp>226</stp>
        <tr r="A234" s="1"/>
      </tp>
      <tp t="s">
        <v>19:05:55.894</v>
        <stp/>
        <stp>T&amp;T1</stp>
        <stp>DAT</stp>
        <stp>227</stp>
        <tr r="G235" s="1"/>
      </tp>
      <tp t="s">
        <v>19:06:00.895</v>
        <stp/>
        <stp>T&amp;T0</stp>
        <stp>DAT</stp>
        <stp>227</stp>
        <tr r="A235" s="1"/>
      </tp>
      <tp t="s">
        <v>19:05:56.026</v>
        <stp/>
        <stp>T&amp;T1</stp>
        <stp>DAT</stp>
        <stp>226</stp>
        <tr r="G234" s="1"/>
      </tp>
      <tp t="s">
        <v>19:06:00.552</v>
        <stp/>
        <stp>T&amp;T0</stp>
        <stp>DAT</stp>
        <stp>228</stp>
        <tr r="A236" s="1"/>
      </tp>
      <tp t="s">
        <v>19:05:55.888</v>
        <stp/>
        <stp>T&amp;T1</stp>
        <stp>DAT</stp>
        <stp>229</stp>
        <tr r="G237" s="1"/>
      </tp>
      <tp t="s">
        <v>19:06:00.390</v>
        <stp/>
        <stp>T&amp;T0</stp>
        <stp>DAT</stp>
        <stp>229</stp>
        <tr r="A237" s="1"/>
      </tp>
      <tp t="s">
        <v>19:05:55.894</v>
        <stp/>
        <stp>T&amp;T1</stp>
        <stp>DAT</stp>
        <stp>228</stp>
        <tr r="G236" s="1"/>
      </tp>
      <tp t="s">
        <v>19:03:29.056</v>
        <stp/>
        <stp>T&amp;T0</stp>
        <stp>DAT</stp>
        <stp>390</stp>
        <tr r="A398" s="1"/>
      </tp>
      <tp t="s">
        <v>19:04:07.165</v>
        <stp/>
        <stp>T&amp;T1</stp>
        <stp>DAT</stp>
        <stp>391</stp>
        <tr r="G399" s="1"/>
      </tp>
      <tp t="s">
        <v>19:03:29.055</v>
        <stp/>
        <stp>T&amp;T0</stp>
        <stp>DAT</stp>
        <stp>391</stp>
        <tr r="A399" s="1"/>
      </tp>
      <tp t="s">
        <v>19:04:07.936</v>
        <stp/>
        <stp>T&amp;T1</stp>
        <stp>DAT</stp>
        <stp>390</stp>
        <tr r="G398" s="1"/>
      </tp>
      <tp t="s">
        <v>19:03:29.055</v>
        <stp/>
        <stp>T&amp;T0</stp>
        <stp>DAT</stp>
        <stp>392</stp>
        <tr r="A400" s="1"/>
      </tp>
      <tp t="s">
        <v>19:04:05.083</v>
        <stp/>
        <stp>T&amp;T1</stp>
        <stp>DAT</stp>
        <stp>393</stp>
        <tr r="G401" s="1"/>
      </tp>
      <tp t="s">
        <v>19:03:29.055</v>
        <stp/>
        <stp>T&amp;T0</stp>
        <stp>DAT</stp>
        <stp>393</stp>
        <tr r="A401" s="1"/>
      </tp>
      <tp t="s">
        <v>19:04:06.393</v>
        <stp/>
        <stp>T&amp;T1</stp>
        <stp>DAT</stp>
        <stp>392</stp>
        <tr r="G400" s="1"/>
      </tp>
      <tp t="s">
        <v>19:03:29.001</v>
        <stp/>
        <stp>T&amp;T0</stp>
        <stp>DAT</stp>
        <stp>394</stp>
        <tr r="A402" s="1"/>
      </tp>
      <tp t="s">
        <v>19:04:03.881</v>
        <stp/>
        <stp>T&amp;T1</stp>
        <stp>DAT</stp>
        <stp>395</stp>
        <tr r="G403" s="1"/>
      </tp>
      <tp t="s">
        <v>19:03:28.862</v>
        <stp/>
        <stp>T&amp;T0</stp>
        <stp>DAT</stp>
        <stp>395</stp>
        <tr r="A403" s="1"/>
      </tp>
      <tp t="s">
        <v>19:04:04.055</v>
        <stp/>
        <stp>T&amp;T1</stp>
        <stp>DAT</stp>
        <stp>394</stp>
        <tr r="G402" s="1"/>
      </tp>
      <tp t="s">
        <v>19:03:28.861</v>
        <stp/>
        <stp>T&amp;T0</stp>
        <stp>DAT</stp>
        <stp>396</stp>
        <tr r="A404" s="1"/>
      </tp>
      <tp t="s">
        <v>19:04:03.769</v>
        <stp/>
        <stp>T&amp;T1</stp>
        <stp>DAT</stp>
        <stp>397</stp>
        <tr r="G405" s="1"/>
      </tp>
      <tp t="s">
        <v>19:03:28.861</v>
        <stp/>
        <stp>T&amp;T0</stp>
        <stp>DAT</stp>
        <stp>397</stp>
        <tr r="A405" s="1"/>
      </tp>
      <tp t="s">
        <v>19:04:03.769</v>
        <stp/>
        <stp>T&amp;T1</stp>
        <stp>DAT</stp>
        <stp>396</stp>
        <tr r="G404" s="1"/>
      </tp>
      <tp t="s">
        <v>19:03:28.137</v>
        <stp/>
        <stp>T&amp;T0</stp>
        <stp>DAT</stp>
        <stp>398</stp>
        <tr r="A406" s="1"/>
      </tp>
      <tp t="s">
        <v>19:04:01.114</v>
        <stp/>
        <stp>T&amp;T1</stp>
        <stp>DAT</stp>
        <stp>399</stp>
        <tr r="G407" s="1"/>
      </tp>
      <tp t="s">
        <v>19:03:28.107</v>
        <stp/>
        <stp>T&amp;T0</stp>
        <stp>DAT</stp>
        <stp>399</stp>
        <tr r="A407" s="1"/>
      </tp>
      <tp t="s">
        <v>19:04:02.568</v>
        <stp/>
        <stp>T&amp;T1</stp>
        <stp>DAT</stp>
        <stp>398</stp>
        <tr r="G406" s="1"/>
      </tp>
      <tp t="s">
        <v>19:03:31.926</v>
        <stp/>
        <stp>T&amp;T0</stp>
        <stp>DAT</stp>
        <stp>380</stp>
        <tr r="A388" s="1"/>
      </tp>
      <tp t="s">
        <v>19:04:20.134</v>
        <stp/>
        <stp>T&amp;T1</stp>
        <stp>DAT</stp>
        <stp>381</stp>
        <tr r="G389" s="1"/>
      </tp>
      <tp t="s">
        <v>19:03:31.911</v>
        <stp/>
        <stp>T&amp;T0</stp>
        <stp>DAT</stp>
        <stp>381</stp>
        <tr r="A389" s="1"/>
      </tp>
      <tp t="s">
        <v>19:04:21.379</v>
        <stp/>
        <stp>T&amp;T1</stp>
        <stp>DAT</stp>
        <stp>380</stp>
        <tr r="G388" s="1"/>
      </tp>
      <tp t="s">
        <v>19:03:31.911</v>
        <stp/>
        <stp>T&amp;T0</stp>
        <stp>DAT</stp>
        <stp>382</stp>
        <tr r="A390" s="1"/>
      </tp>
      <tp t="s">
        <v>19:04:17.675</v>
        <stp/>
        <stp>T&amp;T1</stp>
        <stp>DAT</stp>
        <stp>383</stp>
        <tr r="G391" s="1"/>
      </tp>
      <tp t="s">
        <v>19:03:31.126</v>
        <stp/>
        <stp>T&amp;T0</stp>
        <stp>DAT</stp>
        <stp>383</stp>
        <tr r="A391" s="1"/>
      </tp>
      <tp t="s">
        <v>19:04:17.675</v>
        <stp/>
        <stp>T&amp;T1</stp>
        <stp>DAT</stp>
        <stp>382</stp>
        <tr r="G390" s="1"/>
      </tp>
      <tp t="s">
        <v>19:03:30.069</v>
        <stp/>
        <stp>T&amp;T0</stp>
        <stp>DAT</stp>
        <stp>384</stp>
        <tr r="A392" s="1"/>
      </tp>
      <tp t="s">
        <v>19:04:13.679</v>
        <stp/>
        <stp>T&amp;T1</stp>
        <stp>DAT</stp>
        <stp>385</stp>
        <tr r="G393" s="1"/>
      </tp>
      <tp t="s">
        <v>19:03:29.929</v>
        <stp/>
        <stp>T&amp;T0</stp>
        <stp>DAT</stp>
        <stp>385</stp>
        <tr r="A393" s="1"/>
      </tp>
      <tp t="s">
        <v>19:04:14.090</v>
        <stp/>
        <stp>T&amp;T1</stp>
        <stp>DAT</stp>
        <stp>384</stp>
        <tr r="G392" s="1"/>
      </tp>
      <tp t="s">
        <v>19:03:29.928</v>
        <stp/>
        <stp>T&amp;T0</stp>
        <stp>DAT</stp>
        <stp>386</stp>
        <tr r="A394" s="1"/>
      </tp>
      <tp t="s">
        <v>19:04:10.306</v>
        <stp/>
        <stp>T&amp;T1</stp>
        <stp>DAT</stp>
        <stp>387</stp>
        <tr r="G395" s="1"/>
      </tp>
      <tp t="s">
        <v>19:03:29.928</v>
        <stp/>
        <stp>T&amp;T0</stp>
        <stp>DAT</stp>
        <stp>387</stp>
        <tr r="A395" s="1"/>
      </tp>
      <tp t="s">
        <v>19:04:13.472</v>
        <stp/>
        <stp>T&amp;T1</stp>
        <stp>DAT</stp>
        <stp>386</stp>
        <tr r="G394" s="1"/>
      </tp>
      <tp t="s">
        <v>19:03:29.928</v>
        <stp/>
        <stp>T&amp;T0</stp>
        <stp>DAT</stp>
        <stp>388</stp>
        <tr r="A396" s="1"/>
      </tp>
      <tp t="s">
        <v>19:04:09.201</v>
        <stp/>
        <stp>T&amp;T1</stp>
        <stp>DAT</stp>
        <stp>389</stp>
        <tr r="G397" s="1"/>
      </tp>
      <tp t="s">
        <v>19:03:29.928</v>
        <stp/>
        <stp>T&amp;T0</stp>
        <stp>DAT</stp>
        <stp>389</stp>
        <tr r="A397" s="1"/>
      </tp>
      <tp t="s">
        <v>19:04:09.474</v>
        <stp/>
        <stp>T&amp;T1</stp>
        <stp>DAT</stp>
        <stp>388</stp>
        <tr r="G396" s="1"/>
      </tp>
      <tp t="s">
        <v>19:03:56.835</v>
        <stp/>
        <stp>T&amp;T0</stp>
        <stp>DAT</stp>
        <stp>350</stp>
        <tr r="A358" s="1"/>
      </tp>
      <tp t="s">
        <v>19:05:00.030</v>
        <stp/>
        <stp>T&amp;T1</stp>
        <stp>DAT</stp>
        <stp>351</stp>
        <tr r="G359" s="1"/>
      </tp>
      <tp t="s">
        <v>19:03:52.962</v>
        <stp/>
        <stp>T&amp;T0</stp>
        <stp>DAT</stp>
        <stp>351</stp>
        <tr r="A359" s="1"/>
      </tp>
      <tp t="s">
        <v>19:05:00.397</v>
        <stp/>
        <stp>T&amp;T1</stp>
        <stp>DAT</stp>
        <stp>350</stp>
        <tr r="G358" s="1"/>
      </tp>
      <tp t="s">
        <v>19:03:51.977</v>
        <stp/>
        <stp>T&amp;T0</stp>
        <stp>DAT</stp>
        <stp>352</stp>
        <tr r="A360" s="1"/>
      </tp>
      <tp t="s">
        <v>19:04:58.553</v>
        <stp/>
        <stp>T&amp;T1</stp>
        <stp>DAT</stp>
        <stp>353</stp>
        <tr r="G361" s="1"/>
      </tp>
      <tp t="s">
        <v>19:03:50.376</v>
        <stp/>
        <stp>T&amp;T0</stp>
        <stp>DAT</stp>
        <stp>353</stp>
        <tr r="A361" s="1"/>
      </tp>
      <tp t="s">
        <v>19:04:58.553</v>
        <stp/>
        <stp>T&amp;T1</stp>
        <stp>DAT</stp>
        <stp>352</stp>
        <tr r="G360" s="1"/>
      </tp>
      <tp t="s">
        <v>19:03:49.398</v>
        <stp/>
        <stp>T&amp;T0</stp>
        <stp>DAT</stp>
        <stp>354</stp>
        <tr r="A362" s="1"/>
      </tp>
      <tp t="s">
        <v>19:04:54.150</v>
        <stp/>
        <stp>T&amp;T1</stp>
        <stp>DAT</stp>
        <stp>355</stp>
        <tr r="G363" s="1"/>
      </tp>
      <tp t="s">
        <v>19:03:48.094</v>
        <stp/>
        <stp>T&amp;T0</stp>
        <stp>DAT</stp>
        <stp>355</stp>
        <tr r="A363" s="1"/>
      </tp>
      <tp t="s">
        <v>19:04:58.550</v>
        <stp/>
        <stp>T&amp;T1</stp>
        <stp>DAT</stp>
        <stp>354</stp>
        <tr r="G362" s="1"/>
      </tp>
      <tp t="s">
        <v>19:03:47.851</v>
        <stp/>
        <stp>T&amp;T0</stp>
        <stp>DAT</stp>
        <stp>356</stp>
        <tr r="A364" s="1"/>
      </tp>
      <tp t="s">
        <v>19:04:51.893</v>
        <stp/>
        <stp>T&amp;T1</stp>
        <stp>DAT</stp>
        <stp>357</stp>
        <tr r="G365" s="1"/>
      </tp>
      <tp t="s">
        <v>19:03:46.461</v>
        <stp/>
        <stp>T&amp;T0</stp>
        <stp>DAT</stp>
        <stp>357</stp>
        <tr r="A365" s="1"/>
      </tp>
      <tp t="s">
        <v>19:04:53.358</v>
        <stp/>
        <stp>T&amp;T1</stp>
        <stp>DAT</stp>
        <stp>356</stp>
        <tr r="G364" s="1"/>
      </tp>
      <tp t="s">
        <v>19:03:46.461</v>
        <stp/>
        <stp>T&amp;T0</stp>
        <stp>DAT</stp>
        <stp>358</stp>
        <tr r="A366" s="1"/>
      </tp>
      <tp t="s">
        <v>19:04:49.082</v>
        <stp/>
        <stp>T&amp;T1</stp>
        <stp>DAT</stp>
        <stp>359</stp>
        <tr r="G367" s="1"/>
      </tp>
      <tp t="s">
        <v>19:03:43.760</v>
        <stp/>
        <stp>T&amp;T0</stp>
        <stp>DAT</stp>
        <stp>359</stp>
        <tr r="A367" s="1"/>
      </tp>
      <tp t="s">
        <v>19:04:50.745</v>
        <stp/>
        <stp>T&amp;T1</stp>
        <stp>DAT</stp>
        <stp>358</stp>
        <tr r="G366" s="1"/>
      </tp>
      <tp t="s">
        <v>19:04:11.148</v>
        <stp/>
        <stp>T&amp;T0</stp>
        <stp>DAT</stp>
        <stp>340</stp>
        <tr r="A348" s="1"/>
      </tp>
      <tp t="s">
        <v>19:05:06.740</v>
        <stp/>
        <stp>T&amp;T1</stp>
        <stp>DAT</stp>
        <stp>341</stp>
        <tr r="G349" s="1"/>
      </tp>
      <tp t="s">
        <v>19:04:09.148</v>
        <stp/>
        <stp>T&amp;T0</stp>
        <stp>DAT</stp>
        <stp>341</stp>
        <tr r="A349" s="1"/>
      </tp>
      <tp t="s">
        <v>19:05:06.740</v>
        <stp/>
        <stp>T&amp;T1</stp>
        <stp>DAT</stp>
        <stp>340</stp>
        <tr r="G348" s="1"/>
      </tp>
      <tp t="s">
        <v>19:04:07.935</v>
        <stp/>
        <stp>T&amp;T0</stp>
        <stp>DAT</stp>
        <stp>342</stp>
        <tr r="A350" s="1"/>
      </tp>
      <tp t="s">
        <v>19:05:06.740</v>
        <stp/>
        <stp>T&amp;T1</stp>
        <stp>DAT</stp>
        <stp>343</stp>
        <tr r="G351" s="1"/>
      </tp>
      <tp t="s">
        <v>19:04:05.085</v>
        <stp/>
        <stp>T&amp;T0</stp>
        <stp>DAT</stp>
        <stp>343</stp>
        <tr r="A351" s="1"/>
      </tp>
      <tp t="s">
        <v>19:05:06.740</v>
        <stp/>
        <stp>T&amp;T1</stp>
        <stp>DAT</stp>
        <stp>342</stp>
        <tr r="G350" s="1"/>
      </tp>
      <tp t="s">
        <v>19:04:05.081</v>
        <stp/>
        <stp>T&amp;T0</stp>
        <stp>DAT</stp>
        <stp>344</stp>
        <tr r="A352" s="1"/>
      </tp>
      <tp t="s">
        <v>19:05:06.740</v>
        <stp/>
        <stp>T&amp;T1</stp>
        <stp>DAT</stp>
        <stp>345</stp>
        <tr r="G353" s="1"/>
      </tp>
      <tp t="s">
        <v>19:04:03.881</v>
        <stp/>
        <stp>T&amp;T0</stp>
        <stp>DAT</stp>
        <stp>345</stp>
        <tr r="A353" s="1"/>
      </tp>
      <tp t="s">
        <v>19:05:06.740</v>
        <stp/>
        <stp>T&amp;T1</stp>
        <stp>DAT</stp>
        <stp>344</stp>
        <tr r="G352" s="1"/>
      </tp>
      <tp t="s">
        <v>19:04:03.770</v>
        <stp/>
        <stp>T&amp;T0</stp>
        <stp>DAT</stp>
        <stp>346</stp>
        <tr r="A354" s="1"/>
      </tp>
      <tp t="s">
        <v>19:05:05.145</v>
        <stp/>
        <stp>T&amp;T1</stp>
        <stp>DAT</stp>
        <stp>347</stp>
        <tr r="G355" s="1"/>
      </tp>
      <tp t="s">
        <v>19:03:59.173</v>
        <stp/>
        <stp>T&amp;T0</stp>
        <stp>DAT</stp>
        <stp>347</stp>
        <tr r="A355" s="1"/>
      </tp>
      <tp t="s">
        <v>19:05:05.261</v>
        <stp/>
        <stp>T&amp;T1</stp>
        <stp>DAT</stp>
        <stp>346</stp>
        <tr r="G354" s="1"/>
      </tp>
      <tp t="s">
        <v>19:03:57.301</v>
        <stp/>
        <stp>T&amp;T0</stp>
        <stp>DAT</stp>
        <stp>348</stp>
        <tr r="A356" s="1"/>
      </tp>
      <tp t="s">
        <v>19:05:00.397</v>
        <stp/>
        <stp>T&amp;T1</stp>
        <stp>DAT</stp>
        <stp>349</stp>
        <tr r="G357" s="1"/>
      </tp>
      <tp t="s">
        <v>19:03:57.291</v>
        <stp/>
        <stp>T&amp;T0</stp>
        <stp>DAT</stp>
        <stp>349</stp>
        <tr r="A357" s="1"/>
      </tp>
      <tp t="s">
        <v>19:05:05.120</v>
        <stp/>
        <stp>T&amp;T1</stp>
        <stp>DAT</stp>
        <stp>348</stp>
        <tr r="G356" s="1"/>
      </tp>
      <tp t="s">
        <v>19:03:38.360</v>
        <stp/>
        <stp>T&amp;T0</stp>
        <stp>DAT</stp>
        <stp>370</stp>
        <tr r="A378" s="1"/>
      </tp>
      <tp t="s">
        <v>19:04:30.223</v>
        <stp/>
        <stp>T&amp;T1</stp>
        <stp>DAT</stp>
        <stp>371</stp>
        <tr r="G379" s="1"/>
      </tp>
      <tp t="s">
        <v>19:03:38.346</v>
        <stp/>
        <stp>T&amp;T0</stp>
        <stp>DAT</stp>
        <stp>371</stp>
        <tr r="A379" s="1"/>
      </tp>
      <tp t="s">
        <v>19:04:30.815</v>
        <stp/>
        <stp>T&amp;T1</stp>
        <stp>DAT</stp>
        <stp>370</stp>
        <tr r="G378" s="1"/>
      </tp>
      <tp t="s">
        <v>19:03:38.053</v>
        <stp/>
        <stp>T&amp;T0</stp>
        <stp>DAT</stp>
        <stp>372</stp>
        <tr r="A380" s="1"/>
      </tp>
      <tp t="s">
        <v>19:04:29.462</v>
        <stp/>
        <stp>T&amp;T1</stp>
        <stp>DAT</stp>
        <stp>373</stp>
        <tr r="G381" s="1"/>
      </tp>
      <tp t="s">
        <v>19:03:38.053</v>
        <stp/>
        <stp>T&amp;T0</stp>
        <stp>DAT</stp>
        <stp>373</stp>
        <tr r="A381" s="1"/>
      </tp>
      <tp t="s">
        <v>19:04:29.801</v>
        <stp/>
        <stp>T&amp;T1</stp>
        <stp>DAT</stp>
        <stp>372</stp>
        <tr r="G380" s="1"/>
      </tp>
      <tp t="s">
        <v>19:03:36.518</v>
        <stp/>
        <stp>T&amp;T0</stp>
        <stp>DAT</stp>
        <stp>374</stp>
        <tr r="A382" s="1"/>
      </tp>
      <tp t="s">
        <v>19:04:29.462</v>
        <stp/>
        <stp>T&amp;T1</stp>
        <stp>DAT</stp>
        <stp>375</stp>
        <tr r="G383" s="1"/>
      </tp>
      <tp t="s">
        <v>19:03:36.441</v>
        <stp/>
        <stp>T&amp;T0</stp>
        <stp>DAT</stp>
        <stp>375</stp>
        <tr r="A383" s="1"/>
      </tp>
      <tp t="s">
        <v>19:04:29.462</v>
        <stp/>
        <stp>T&amp;T1</stp>
        <stp>DAT</stp>
        <stp>374</stp>
        <tr r="G382" s="1"/>
      </tp>
      <tp t="s">
        <v>19:03:36.441</v>
        <stp/>
        <stp>T&amp;T0</stp>
        <stp>DAT</stp>
        <stp>376</stp>
        <tr r="A384" s="1"/>
      </tp>
      <tp t="s">
        <v>19:04:25.519</v>
        <stp/>
        <stp>T&amp;T1</stp>
        <stp>DAT</stp>
        <stp>377</stp>
        <tr r="G385" s="1"/>
      </tp>
      <tp t="s">
        <v>19:03:35.810</v>
        <stp/>
        <stp>T&amp;T0</stp>
        <stp>DAT</stp>
        <stp>377</stp>
        <tr r="A385" s="1"/>
      </tp>
      <tp t="s">
        <v>19:04:28.912</v>
        <stp/>
        <stp>T&amp;T1</stp>
        <stp>DAT</stp>
        <stp>376</stp>
        <tr r="G384" s="1"/>
      </tp>
      <tp t="s">
        <v>19:03:34.555</v>
        <stp/>
        <stp>T&amp;T0</stp>
        <stp>DAT</stp>
        <stp>378</stp>
        <tr r="A386" s="1"/>
      </tp>
      <tp t="s">
        <v>19:04:24.467</v>
        <stp/>
        <stp>T&amp;T1</stp>
        <stp>DAT</stp>
        <stp>379</stp>
        <tr r="G387" s="1"/>
      </tp>
      <tp t="s">
        <v>19:03:32.039</v>
        <stp/>
        <stp>T&amp;T0</stp>
        <stp>DAT</stp>
        <stp>379</stp>
        <tr r="A387" s="1"/>
      </tp>
      <tp t="s">
        <v>19:04:24.679</v>
        <stp/>
        <stp>T&amp;T1</stp>
        <stp>DAT</stp>
        <stp>378</stp>
        <tr r="G386" s="1"/>
      </tp>
      <tp t="s">
        <v>19:03:43.759</v>
        <stp/>
        <stp>T&amp;T0</stp>
        <stp>DAT</stp>
        <stp>360</stp>
        <tr r="A368" s="1"/>
      </tp>
      <tp t="s">
        <v>19:04:48.296</v>
        <stp/>
        <stp>T&amp;T1</stp>
        <stp>DAT</stp>
        <stp>361</stp>
        <tr r="G369" s="1"/>
      </tp>
      <tp t="s">
        <v>19:03:42.024</v>
        <stp/>
        <stp>T&amp;T0</stp>
        <stp>DAT</stp>
        <stp>361</stp>
        <tr r="A369" s="1"/>
      </tp>
      <tp t="s">
        <v>19:04:49.020</v>
        <stp/>
        <stp>T&amp;T1</stp>
        <stp>DAT</stp>
        <stp>360</stp>
        <tr r="G368" s="1"/>
      </tp>
      <tp t="s">
        <v>19:03:41.778</v>
        <stp/>
        <stp>T&amp;T0</stp>
        <stp>DAT</stp>
        <stp>362</stp>
        <tr r="A370" s="1"/>
      </tp>
      <tp t="s">
        <v>19:04:41.375</v>
        <stp/>
        <stp>T&amp;T1</stp>
        <stp>DAT</stp>
        <stp>363</stp>
        <tr r="G371" s="1"/>
      </tp>
      <tp t="s">
        <v>19:03:41.171</v>
        <stp/>
        <stp>T&amp;T0</stp>
        <stp>DAT</stp>
        <stp>363</stp>
        <tr r="A371" s="1"/>
      </tp>
      <tp t="s">
        <v>19:04:43.018</v>
        <stp/>
        <stp>T&amp;T1</stp>
        <stp>DAT</stp>
        <stp>362</stp>
        <tr r="G370" s="1"/>
      </tp>
      <tp t="s">
        <v>19:03:40.843</v>
        <stp/>
        <stp>T&amp;T0</stp>
        <stp>DAT</stp>
        <stp>364</stp>
        <tr r="A372" s="1"/>
      </tp>
      <tp t="s">
        <v>19:04:39.136</v>
        <stp/>
        <stp>T&amp;T1</stp>
        <stp>DAT</stp>
        <stp>365</stp>
        <tr r="G373" s="1"/>
      </tp>
      <tp t="s">
        <v>19:03:40.281</v>
        <stp/>
        <stp>T&amp;T0</stp>
        <stp>DAT</stp>
        <stp>365</stp>
        <tr r="A373" s="1"/>
      </tp>
      <tp t="s">
        <v>19:04:39.434</v>
        <stp/>
        <stp>T&amp;T1</stp>
        <stp>DAT</stp>
        <stp>364</stp>
        <tr r="G372" s="1"/>
      </tp>
      <tp t="s">
        <v>19:03:39.807</v>
        <stp/>
        <stp>T&amp;T0</stp>
        <stp>DAT</stp>
        <stp>366</stp>
        <tr r="A374" s="1"/>
      </tp>
      <tp t="s">
        <v>19:04:38.857</v>
        <stp/>
        <stp>T&amp;T1</stp>
        <stp>DAT</stp>
        <stp>367</stp>
        <tr r="G375" s="1"/>
      </tp>
      <tp t="s">
        <v>19:03:39.806</v>
        <stp/>
        <stp>T&amp;T0</stp>
        <stp>DAT</stp>
        <stp>367</stp>
        <tr r="A375" s="1"/>
      </tp>
      <tp t="s">
        <v>19:04:38.997</v>
        <stp/>
        <stp>T&amp;T1</stp>
        <stp>DAT</stp>
        <stp>366</stp>
        <tr r="G374" s="1"/>
      </tp>
      <tp t="s">
        <v>19:03:38.733</v>
        <stp/>
        <stp>T&amp;T0</stp>
        <stp>DAT</stp>
        <stp>368</stp>
        <tr r="A376" s="1"/>
      </tp>
      <tp t="s">
        <v>19:04:34.461</v>
        <stp/>
        <stp>T&amp;T1</stp>
        <stp>DAT</stp>
        <stp>369</stp>
        <tr r="G377" s="1"/>
      </tp>
      <tp t="s">
        <v>19:03:38.732</v>
        <stp/>
        <stp>T&amp;T0</stp>
        <stp>DAT</stp>
        <stp>369</stp>
        <tr r="A377" s="1"/>
      </tp>
      <tp t="s">
        <v>19:04:35.540</v>
        <stp/>
        <stp>T&amp;T1</stp>
        <stp>DAT</stp>
        <stp>368</stp>
        <tr r="G376" s="1"/>
      </tp>
      <tp t="s">
        <v>19:05:02.194</v>
        <stp/>
        <stp>T&amp;T0</stp>
        <stp>DAT</stp>
        <stp>310</stp>
        <tr r="A318" s="1"/>
      </tp>
      <tp t="s">
        <v>19:05:08.989</v>
        <stp/>
        <stp>T&amp;T1</stp>
        <stp>DAT</stp>
        <stp>311</stp>
        <tr r="G319" s="1"/>
      </tp>
      <tp t="s">
        <v>19:05:01.414</v>
        <stp/>
        <stp>T&amp;T0</stp>
        <stp>DAT</stp>
        <stp>311</stp>
        <tr r="A319" s="1"/>
      </tp>
      <tp t="s">
        <v>19:05:09.824</v>
        <stp/>
        <stp>T&amp;T1</stp>
        <stp>DAT</stp>
        <stp>310</stp>
        <tr r="G318" s="1"/>
      </tp>
      <tp t="s">
        <v>19:05:00.723</v>
        <stp/>
        <stp>T&amp;T0</stp>
        <stp>DAT</stp>
        <stp>312</stp>
        <tr r="A320" s="1"/>
      </tp>
      <tp t="s">
        <v>19:05:08.384</v>
        <stp/>
        <stp>T&amp;T1</stp>
        <stp>DAT</stp>
        <stp>313</stp>
        <tr r="G321" s="1"/>
      </tp>
      <tp t="s">
        <v>19:05:00.625</v>
        <stp/>
        <stp>T&amp;T0</stp>
        <stp>DAT</stp>
        <stp>313</stp>
        <tr r="A321" s="1"/>
      </tp>
      <tp t="s">
        <v>19:05:08.507</v>
        <stp/>
        <stp>T&amp;T1</stp>
        <stp>DAT</stp>
        <stp>312</stp>
        <tr r="G320" s="1"/>
      </tp>
      <tp t="s">
        <v>19:05:00.402</v>
        <stp/>
        <stp>T&amp;T0</stp>
        <stp>DAT</stp>
        <stp>314</stp>
        <tr r="A322" s="1"/>
      </tp>
      <tp t="s">
        <v>19:05:08.268</v>
        <stp/>
        <stp>T&amp;T1</stp>
        <stp>DAT</stp>
        <stp>315</stp>
        <tr r="G323" s="1"/>
      </tp>
      <tp t="s">
        <v>19:05:00.396</v>
        <stp/>
        <stp>T&amp;T0</stp>
        <stp>DAT</stp>
        <stp>315</stp>
        <tr r="A323" s="1"/>
      </tp>
      <tp t="s">
        <v>19:05:08.371</v>
        <stp/>
        <stp>T&amp;T1</stp>
        <stp>DAT</stp>
        <stp>314</stp>
        <tr r="G322" s="1"/>
      </tp>
      <tp t="s">
        <v>19:05:00.396</v>
        <stp/>
        <stp>T&amp;T0</stp>
        <stp>DAT</stp>
        <stp>316</stp>
        <tr r="A324" s="1"/>
      </tp>
      <tp t="s">
        <v>19:05:07.989</v>
        <stp/>
        <stp>T&amp;T1</stp>
        <stp>DAT</stp>
        <stp>317</stp>
        <tr r="G325" s="1"/>
      </tp>
      <tp t="s">
        <v>19:05:00.396</v>
        <stp/>
        <stp>T&amp;T0</stp>
        <stp>DAT</stp>
        <stp>317</stp>
        <tr r="A325" s="1"/>
      </tp>
      <tp t="s">
        <v>19:05:08.168</v>
        <stp/>
        <stp>T&amp;T1</stp>
        <stp>DAT</stp>
        <stp>316</stp>
        <tr r="G324" s="1"/>
      </tp>
      <tp t="s">
        <v>19:04:58.553</v>
        <stp/>
        <stp>T&amp;T0</stp>
        <stp>DAT</stp>
        <stp>318</stp>
        <tr r="A326" s="1"/>
      </tp>
      <tp t="s">
        <v>19:05:07.928</v>
        <stp/>
        <stp>T&amp;T1</stp>
        <stp>DAT</stp>
        <stp>319</stp>
        <tr r="G327" s="1"/>
      </tp>
      <tp t="s">
        <v>19:04:58.553</v>
        <stp/>
        <stp>T&amp;T0</stp>
        <stp>DAT</stp>
        <stp>319</stp>
        <tr r="A327" s="1"/>
      </tp>
      <tp t="s">
        <v>19:05:07.966</v>
        <stp/>
        <stp>T&amp;T1</stp>
        <stp>DAT</stp>
        <stp>318</stp>
        <tr r="G326" s="1"/>
      </tp>
      <tp t="s">
        <v>19:05:06.742</v>
        <stp/>
        <stp>T&amp;T0</stp>
        <stp>DAT</stp>
        <stp>300</stp>
        <tr r="A308" s="1"/>
      </tp>
      <tp t="s">
        <v>19:05:15.146</v>
        <stp/>
        <stp>T&amp;T1</stp>
        <stp>DAT</stp>
        <stp>301</stp>
        <tr r="G309" s="1"/>
      </tp>
      <tp t="s">
        <v>19:05:06.740</v>
        <stp/>
        <stp>T&amp;T0</stp>
        <stp>DAT</stp>
        <stp>301</stp>
        <tr r="A309" s="1"/>
      </tp>
      <tp t="s">
        <v>19:05:15.146</v>
        <stp/>
        <stp>T&amp;T1</stp>
        <stp>DAT</stp>
        <stp>300</stp>
        <tr r="G308" s="1"/>
      </tp>
      <tp t="s">
        <v>19:05:06.740</v>
        <stp/>
        <stp>T&amp;T0</stp>
        <stp>DAT</stp>
        <stp>302</stp>
        <tr r="A310" s="1"/>
      </tp>
      <tp t="s">
        <v>19:05:11.178</v>
        <stp/>
        <stp>T&amp;T1</stp>
        <stp>DAT</stp>
        <stp>303</stp>
        <tr r="G311" s="1"/>
      </tp>
      <tp t="s">
        <v>19:05:05.867</v>
        <stp/>
        <stp>T&amp;T0</stp>
        <stp>DAT</stp>
        <stp>303</stp>
        <tr r="A311" s="1"/>
      </tp>
      <tp t="s">
        <v>19:05:14.612</v>
        <stp/>
        <stp>T&amp;T1</stp>
        <stp>DAT</stp>
        <stp>302</stp>
        <tr r="G310" s="1"/>
      </tp>
      <tp t="s">
        <v>19:05:05.396</v>
        <stp/>
        <stp>T&amp;T0</stp>
        <stp>DAT</stp>
        <stp>304</stp>
        <tr r="A312" s="1"/>
      </tp>
      <tp t="s">
        <v>19:05:11.122</v>
        <stp/>
        <stp>T&amp;T1</stp>
        <stp>DAT</stp>
        <stp>305</stp>
        <tr r="G313" s="1"/>
      </tp>
      <tp t="s">
        <v>19:05:05.261</v>
        <stp/>
        <stp>T&amp;T0</stp>
        <stp>DAT</stp>
        <stp>305</stp>
        <tr r="A313" s="1"/>
      </tp>
      <tp t="s">
        <v>19:05:11.178</v>
        <stp/>
        <stp>T&amp;T1</stp>
        <stp>DAT</stp>
        <stp>304</stp>
        <tr r="G312" s="1"/>
      </tp>
      <tp t="s">
        <v>19:05:04.263</v>
        <stp/>
        <stp>T&amp;T0</stp>
        <stp>DAT</stp>
        <stp>306</stp>
        <tr r="A314" s="1"/>
      </tp>
      <tp t="s">
        <v>19:05:10.162</v>
        <stp/>
        <stp>T&amp;T1</stp>
        <stp>DAT</stp>
        <stp>307</stp>
        <tr r="G315" s="1"/>
      </tp>
      <tp t="s">
        <v>19:05:02.551</v>
        <stp/>
        <stp>T&amp;T0</stp>
        <stp>DAT</stp>
        <stp>307</stp>
        <tr r="A315" s="1"/>
      </tp>
      <tp t="s">
        <v>19:05:10.858</v>
        <stp/>
        <stp>T&amp;T1</stp>
        <stp>DAT</stp>
        <stp>306</stp>
        <tr r="G314" s="1"/>
      </tp>
      <tp t="s">
        <v>19:05:02.551</v>
        <stp/>
        <stp>T&amp;T0</stp>
        <stp>DAT</stp>
        <stp>308</stp>
        <tr r="A316" s="1"/>
      </tp>
      <tp t="s">
        <v>19:05:10.131</v>
        <stp/>
        <stp>T&amp;T1</stp>
        <stp>DAT</stp>
        <stp>309</stp>
        <tr r="G317" s="1"/>
      </tp>
      <tp t="s">
        <v>19:05:02.351</v>
        <stp/>
        <stp>T&amp;T0</stp>
        <stp>DAT</stp>
        <stp>309</stp>
        <tr r="A317" s="1"/>
      </tp>
      <tp t="s">
        <v>19:05:10.162</v>
        <stp/>
        <stp>T&amp;T1</stp>
        <stp>DAT</stp>
        <stp>308</stp>
        <tr r="G316" s="1"/>
      </tp>
      <tp t="s">
        <v>19:04:39.016</v>
        <stp/>
        <stp>T&amp;T0</stp>
        <stp>DAT</stp>
        <stp>330</stp>
        <tr r="A338" s="1"/>
      </tp>
      <tp t="s">
        <v>19:05:07.087</v>
        <stp/>
        <stp>T&amp;T1</stp>
        <stp>DAT</stp>
        <stp>331</stp>
        <tr r="G339" s="1"/>
      </tp>
      <tp t="s">
        <v>19:04:30.816</v>
        <stp/>
        <stp>T&amp;T0</stp>
        <stp>DAT</stp>
        <stp>331</stp>
        <tr r="A339" s="1"/>
      </tp>
      <tp t="s">
        <v>19:05:07.924</v>
        <stp/>
        <stp>T&amp;T1</stp>
        <stp>DAT</stp>
        <stp>330</stp>
        <tr r="G338" s="1"/>
      </tp>
      <tp t="s">
        <v>19:04:30.045</v>
        <stp/>
        <stp>T&amp;T0</stp>
        <stp>DAT</stp>
        <stp>332</stp>
        <tr r="A340" s="1"/>
      </tp>
      <tp t="s">
        <v>19:05:06.790</v>
        <stp/>
        <stp>T&amp;T1</stp>
        <stp>DAT</stp>
        <stp>333</stp>
        <tr r="G341" s="1"/>
      </tp>
      <tp t="s">
        <v>19:04:29.800</v>
        <stp/>
        <stp>T&amp;T0</stp>
        <stp>DAT</stp>
        <stp>333</stp>
        <tr r="A341" s="1"/>
      </tp>
      <tp t="s">
        <v>19:05:06.815</v>
        <stp/>
        <stp>T&amp;T1</stp>
        <stp>DAT</stp>
        <stp>332</stp>
        <tr r="G340" s="1"/>
      </tp>
      <tp t="s">
        <v>19:04:25.010</v>
        <stp/>
        <stp>T&amp;T0</stp>
        <stp>DAT</stp>
        <stp>334</stp>
        <tr r="A342" s="1"/>
      </tp>
      <tp t="s">
        <v>19:05:06.741</v>
        <stp/>
        <stp>T&amp;T1</stp>
        <stp>DAT</stp>
        <stp>335</stp>
        <tr r="G343" s="1"/>
      </tp>
      <tp t="s">
        <v>19:04:21.323</v>
        <stp/>
        <stp>T&amp;T0</stp>
        <stp>DAT</stp>
        <stp>335</stp>
        <tr r="A343" s="1"/>
      </tp>
      <tp t="s">
        <v>19:05:06.743</v>
        <stp/>
        <stp>T&amp;T1</stp>
        <stp>DAT</stp>
        <stp>334</stp>
        <tr r="G342" s="1"/>
      </tp>
      <tp t="s">
        <v>19:04:19.220</v>
        <stp/>
        <stp>T&amp;T0</stp>
        <stp>DAT</stp>
        <stp>336</stp>
        <tr r="A344" s="1"/>
      </tp>
      <tp t="s">
        <v>19:05:06.740</v>
        <stp/>
        <stp>T&amp;T1</stp>
        <stp>DAT</stp>
        <stp>337</stp>
        <tr r="G345" s="1"/>
      </tp>
      <tp t="s">
        <v>19:04:19.220</v>
        <stp/>
        <stp>T&amp;T0</stp>
        <stp>DAT</stp>
        <stp>337</stp>
        <tr r="A345" s="1"/>
      </tp>
      <tp t="s">
        <v>19:05:06.741</v>
        <stp/>
        <stp>T&amp;T1</stp>
        <stp>DAT</stp>
        <stp>336</stp>
        <tr r="G344" s="1"/>
      </tp>
      <tp t="s">
        <v>19:04:18.496</v>
        <stp/>
        <stp>T&amp;T0</stp>
        <stp>DAT</stp>
        <stp>338</stp>
        <tr r="A346" s="1"/>
      </tp>
      <tp t="s">
        <v>19:05:06.740</v>
        <stp/>
        <stp>T&amp;T1</stp>
        <stp>DAT</stp>
        <stp>339</stp>
        <tr r="G347" s="1"/>
      </tp>
      <tp t="s">
        <v>19:04:12.972</v>
        <stp/>
        <stp>T&amp;T0</stp>
        <stp>DAT</stp>
        <stp>339</stp>
        <tr r="A347" s="1"/>
      </tp>
      <tp t="s">
        <v>19:05:06.740</v>
        <stp/>
        <stp>T&amp;T1</stp>
        <stp>DAT</stp>
        <stp>338</stp>
        <tr r="G346" s="1"/>
      </tp>
      <tp t="s">
        <v>19:04:58.553</v>
        <stp/>
        <stp>T&amp;T0</stp>
        <stp>DAT</stp>
        <stp>320</stp>
        <tr r="A328" s="1"/>
      </tp>
      <tp t="s">
        <v>19:05:07.925</v>
        <stp/>
        <stp>T&amp;T1</stp>
        <stp>DAT</stp>
        <stp>321</stp>
        <tr r="G329" s="1"/>
      </tp>
      <tp t="s">
        <v>19:04:57.358</v>
        <stp/>
        <stp>T&amp;T0</stp>
        <stp>DAT</stp>
        <stp>321</stp>
        <tr r="A329" s="1"/>
      </tp>
      <tp t="s">
        <v>19:05:07.928</v>
        <stp/>
        <stp>T&amp;T1</stp>
        <stp>DAT</stp>
        <stp>320</stp>
        <tr r="G328" s="1"/>
      </tp>
      <tp t="s">
        <v>19:04:54.150</v>
        <stp/>
        <stp>T&amp;T0</stp>
        <stp>DAT</stp>
        <stp>322</stp>
        <tr r="A330" s="1"/>
      </tp>
      <tp t="s">
        <v>19:05:07.925</v>
        <stp/>
        <stp>T&amp;T1</stp>
        <stp>DAT</stp>
        <stp>323</stp>
        <tr r="G331" s="1"/>
      </tp>
      <tp t="s">
        <v>19:04:54.150</v>
        <stp/>
        <stp>T&amp;T0</stp>
        <stp>DAT</stp>
        <stp>323</stp>
        <tr r="A331" s="1"/>
      </tp>
      <tp t="s">
        <v>19:05:07.925</v>
        <stp/>
        <stp>T&amp;T1</stp>
        <stp>DAT</stp>
        <stp>322</stp>
        <tr r="G330" s="1"/>
      </tp>
      <tp t="s">
        <v>19:04:51.893</v>
        <stp/>
        <stp>T&amp;T0</stp>
        <stp>DAT</stp>
        <stp>324</stp>
        <tr r="A332" s="1"/>
      </tp>
      <tp t="s">
        <v>19:05:07.924</v>
        <stp/>
        <stp>T&amp;T1</stp>
        <stp>DAT</stp>
        <stp>325</stp>
        <tr r="G333" s="1"/>
      </tp>
      <tp t="s">
        <v>19:04:50.693</v>
        <stp/>
        <stp>T&amp;T0</stp>
        <stp>DAT</stp>
        <stp>325</stp>
        <tr r="A333" s="1"/>
      </tp>
      <tp t="s">
        <v>19:05:07.925</v>
        <stp/>
        <stp>T&amp;T1</stp>
        <stp>DAT</stp>
        <stp>324</stp>
        <tr r="G332" s="1"/>
      </tp>
      <tp t="s">
        <v>19:04:48.320</v>
        <stp/>
        <stp>T&amp;T0</stp>
        <stp>DAT</stp>
        <stp>326</stp>
        <tr r="A334" s="1"/>
      </tp>
      <tp t="s">
        <v>19:05:07.924</v>
        <stp/>
        <stp>T&amp;T1</stp>
        <stp>DAT</stp>
        <stp>327</stp>
        <tr r="G335" s="1"/>
      </tp>
      <tp t="s">
        <v>19:04:48.297</v>
        <stp/>
        <stp>T&amp;T0</stp>
        <stp>DAT</stp>
        <stp>327</stp>
        <tr r="A335" s="1"/>
      </tp>
      <tp t="s">
        <v>19:05:07.924</v>
        <stp/>
        <stp>T&amp;T1</stp>
        <stp>DAT</stp>
        <stp>326</stp>
        <tr r="G334" s="1"/>
      </tp>
      <tp t="s">
        <v>19:04:48.297</v>
        <stp/>
        <stp>T&amp;T0</stp>
        <stp>DAT</stp>
        <stp>328</stp>
        <tr r="A336" s="1"/>
      </tp>
      <tp t="s">
        <v>19:05:07.924</v>
        <stp/>
        <stp>T&amp;T1</stp>
        <stp>DAT</stp>
        <stp>329</stp>
        <tr r="G337" s="1"/>
      </tp>
      <tp t="s">
        <v>19:04:39.021</v>
        <stp/>
        <stp>T&amp;T0</stp>
        <stp>DAT</stp>
        <stp>329</stp>
        <tr r="A337" s="1"/>
      </tp>
      <tp t="s">
        <v>19:05:07.924</v>
        <stp/>
        <stp>T&amp;T1</stp>
        <stp>DAT</stp>
        <stp>328</stp>
        <tr r="G336" s="1"/>
      </tp>
      <tp>
        <v>7336.25</v>
        <stp/>
        <stp>ESM6_M_0</stp>
        <stp>MIN</stp>
        <tr r="F2" s="1"/>
      </tp>
      <tp>
        <v>7350.25</v>
        <stp/>
        <stp>ESM6_M_0</stp>
        <stp>MAX</stp>
        <tr r="E2" s="1"/>
      </tp>
      <tp t="s">
        <v>Comprador</v>
        <stp/>
        <stp>T&amp;T0</stp>
        <stp>AGR</stp>
        <stp>496</stp>
        <tr r="D504" s="1"/>
      </tp>
      <tp t="s">
        <v>Vendedor</v>
        <stp/>
        <stp>T&amp;T1</stp>
        <stp>AGR</stp>
        <stp>497</stp>
        <tr r="J505" s="1"/>
      </tp>
      <tp t="s">
        <v>Comprador</v>
        <stp/>
        <stp>T&amp;T0</stp>
        <stp>AGR</stp>
        <stp>497</stp>
        <tr r="D505" s="1"/>
      </tp>
      <tp t="s">
        <v>Vendedor</v>
        <stp/>
        <stp>T&amp;T1</stp>
        <stp>AGR</stp>
        <stp>496</stp>
        <tr r="J504" s="1"/>
      </tp>
      <tp t="s">
        <v>Comprador</v>
        <stp/>
        <stp>T&amp;T0</stp>
        <stp>AGR</stp>
        <stp>494</stp>
        <tr r="D502" s="1"/>
      </tp>
      <tp t="s">
        <v>Vendedor</v>
        <stp/>
        <stp>T&amp;T1</stp>
        <stp>AGR</stp>
        <stp>495</stp>
        <tr r="J503" s="1"/>
      </tp>
      <tp t="s">
        <v>Comprador</v>
        <stp/>
        <stp>T&amp;T0</stp>
        <stp>AGR</stp>
        <stp>495</stp>
        <tr r="D503" s="1"/>
      </tp>
      <tp t="s">
        <v>Vendedor</v>
        <stp/>
        <stp>T&amp;T1</stp>
        <stp>AGR</stp>
        <stp>494</stp>
        <tr r="J502" s="1"/>
      </tp>
      <tp t="s">
        <v>Comprador</v>
        <stp/>
        <stp>T&amp;T0</stp>
        <stp>AGR</stp>
        <stp>492</stp>
        <tr r="D500" s="1"/>
      </tp>
      <tp t="s">
        <v>Vendedor</v>
        <stp/>
        <stp>T&amp;T1</stp>
        <stp>AGR</stp>
        <stp>493</stp>
        <tr r="J501" s="1"/>
      </tp>
      <tp t="s">
        <v>Comprador</v>
        <stp/>
        <stp>T&amp;T0</stp>
        <stp>AGR</stp>
        <stp>493</stp>
        <tr r="D501" s="1"/>
      </tp>
      <tp t="s">
        <v>Vendedor</v>
        <stp/>
        <stp>T&amp;T1</stp>
        <stp>AGR</stp>
        <stp>492</stp>
        <tr r="J500" s="1"/>
      </tp>
      <tp t="s">
        <v>Comprador</v>
        <stp/>
        <stp>T&amp;T0</stp>
        <stp>AGR</stp>
        <stp>490</stp>
        <tr r="D498" s="1"/>
      </tp>
      <tp t="s">
        <v>Vendedor</v>
        <stp/>
        <stp>T&amp;T1</stp>
        <stp>AGR</stp>
        <stp>491</stp>
        <tr r="J499" s="1"/>
      </tp>
      <tp t="s">
        <v>Comprador</v>
        <stp/>
        <stp>T&amp;T0</stp>
        <stp>AGR</stp>
        <stp>491</stp>
        <tr r="D499" s="1"/>
      </tp>
      <tp t="s">
        <v>Vendedor</v>
        <stp/>
        <stp>T&amp;T1</stp>
        <stp>AGR</stp>
        <stp>490</stp>
        <tr r="J498" s="1"/>
      </tp>
      <tp t="s">
        <v>Comprador</v>
        <stp/>
        <stp>T&amp;T0</stp>
        <stp>AGR</stp>
        <stp>498</stp>
        <tr r="D506" s="1"/>
      </tp>
      <tp t="s">
        <v>Vendedor</v>
        <stp/>
        <stp>T&amp;T1</stp>
        <stp>AGR</stp>
        <stp>499</stp>
        <tr r="J507" s="1"/>
      </tp>
      <tp t="s">
        <v>Comprador</v>
        <stp/>
        <stp>T&amp;T0</stp>
        <stp>AGR</stp>
        <stp>499</stp>
        <tr r="D507" s="1"/>
      </tp>
      <tp t="s">
        <v>Vendedor</v>
        <stp/>
        <stp>T&amp;T1</stp>
        <stp>AGR</stp>
        <stp>498</stp>
        <tr r="J506" s="1"/>
      </tp>
      <tp t="s">
        <v>Comprador</v>
        <stp/>
        <stp>T&amp;T0</stp>
        <stp>AGR</stp>
        <stp>486</stp>
        <tr r="D494" s="1"/>
      </tp>
      <tp t="s">
        <v>Vendedor</v>
        <stp/>
        <stp>T&amp;T1</stp>
        <stp>AGR</stp>
        <stp>487</stp>
        <tr r="J495" s="1"/>
      </tp>
      <tp t="s">
        <v>Comprador</v>
        <stp/>
        <stp>T&amp;T0</stp>
        <stp>AGR</stp>
        <stp>487</stp>
        <tr r="D495" s="1"/>
      </tp>
      <tp t="s">
        <v>Vendedor</v>
        <stp/>
        <stp>T&amp;T1</stp>
        <stp>AGR</stp>
        <stp>486</stp>
        <tr r="J494" s="1"/>
      </tp>
      <tp t="s">
        <v>Comprador</v>
        <stp/>
        <stp>T&amp;T0</stp>
        <stp>AGR</stp>
        <stp>484</stp>
        <tr r="D492" s="1"/>
      </tp>
      <tp t="s">
        <v>Vendedor</v>
        <stp/>
        <stp>T&amp;T1</stp>
        <stp>AGR</stp>
        <stp>485</stp>
        <tr r="J493" s="1"/>
      </tp>
      <tp t="s">
        <v>Comprador</v>
        <stp/>
        <stp>T&amp;T0</stp>
        <stp>AGR</stp>
        <stp>485</stp>
        <tr r="D493" s="1"/>
      </tp>
      <tp t="s">
        <v>Vendedor</v>
        <stp/>
        <stp>T&amp;T1</stp>
        <stp>AGR</stp>
        <stp>484</stp>
        <tr r="J492" s="1"/>
      </tp>
      <tp t="s">
        <v>Comprador</v>
        <stp/>
        <stp>T&amp;T0</stp>
        <stp>AGR</stp>
        <stp>482</stp>
        <tr r="D490" s="1"/>
      </tp>
      <tp t="s">
        <v>Vendedor</v>
        <stp/>
        <stp>T&amp;T1</stp>
        <stp>AGR</stp>
        <stp>483</stp>
        <tr r="J491" s="1"/>
      </tp>
      <tp t="s">
        <v>Comprador</v>
        <stp/>
        <stp>T&amp;T0</stp>
        <stp>AGR</stp>
        <stp>483</stp>
        <tr r="D491" s="1"/>
      </tp>
      <tp t="s">
        <v>Vendedor</v>
        <stp/>
        <stp>T&amp;T1</stp>
        <stp>AGR</stp>
        <stp>482</stp>
        <tr r="J490" s="1"/>
      </tp>
      <tp t="s">
        <v>Comprador</v>
        <stp/>
        <stp>T&amp;T0</stp>
        <stp>AGR</stp>
        <stp>480</stp>
        <tr r="D488" s="1"/>
      </tp>
      <tp t="s">
        <v>Vendedor</v>
        <stp/>
        <stp>T&amp;T1</stp>
        <stp>AGR</stp>
        <stp>481</stp>
        <tr r="J489" s="1"/>
      </tp>
      <tp t="s">
        <v>Comprador</v>
        <stp/>
        <stp>T&amp;T0</stp>
        <stp>AGR</stp>
        <stp>481</stp>
        <tr r="D489" s="1"/>
      </tp>
      <tp t="s">
        <v>Vendedor</v>
        <stp/>
        <stp>T&amp;T1</stp>
        <stp>AGR</stp>
        <stp>480</stp>
        <tr r="J488" s="1"/>
      </tp>
      <tp t="s">
        <v>Comprador</v>
        <stp/>
        <stp>T&amp;T0</stp>
        <stp>AGR</stp>
        <stp>488</stp>
        <tr r="D496" s="1"/>
      </tp>
      <tp t="s">
        <v>Vendedor</v>
        <stp/>
        <stp>T&amp;T1</stp>
        <stp>AGR</stp>
        <stp>489</stp>
        <tr r="J497" s="1"/>
      </tp>
      <tp t="s">
        <v>Comprador</v>
        <stp/>
        <stp>T&amp;T0</stp>
        <stp>AGR</stp>
        <stp>489</stp>
        <tr r="D497" s="1"/>
      </tp>
      <tp t="s">
        <v>Vendedor</v>
        <stp/>
        <stp>T&amp;T1</stp>
        <stp>AGR</stp>
        <stp>488</stp>
        <tr r="J496" s="1"/>
      </tp>
      <tp t="s">
        <v>19:06:07.651</v>
        <stp/>
        <stp>T&amp;T0</stp>
        <stp>DAT</stp>
        <stp>190</stp>
        <tr r="A198" s="1"/>
      </tp>
      <tp t="s">
        <v>19:06:07.650</v>
        <stp/>
        <stp>T&amp;T1</stp>
        <stp>DAT</stp>
        <stp>191</stp>
        <tr r="G199" s="1"/>
      </tp>
      <tp t="s">
        <v>19:06:07.650</v>
        <stp/>
        <stp>T&amp;T0</stp>
        <stp>DAT</stp>
        <stp>191</stp>
        <tr r="A199" s="1"/>
      </tp>
      <tp t="s">
        <v>19:06:07.650</v>
        <stp/>
        <stp>T&amp;T1</stp>
        <stp>DAT</stp>
        <stp>190</stp>
        <tr r="G198" s="1"/>
      </tp>
      <tp t="s">
        <v>19:06:07.650</v>
        <stp/>
        <stp>T&amp;T0</stp>
        <stp>DAT</stp>
        <stp>192</stp>
        <tr r="A200" s="1"/>
      </tp>
      <tp t="s">
        <v>19:06:07.400</v>
        <stp/>
        <stp>T&amp;T1</stp>
        <stp>DAT</stp>
        <stp>193</stp>
        <tr r="G201" s="1"/>
      </tp>
      <tp t="s">
        <v>19:06:07.401</v>
        <stp/>
        <stp>T&amp;T0</stp>
        <stp>DAT</stp>
        <stp>193</stp>
        <tr r="A201" s="1"/>
      </tp>
      <tp t="s">
        <v>19:06:07.650</v>
        <stp/>
        <stp>T&amp;T1</stp>
        <stp>DAT</stp>
        <stp>192</stp>
        <tr r="G200" s="1"/>
      </tp>
      <tp t="s">
        <v>19:06:07.401</v>
        <stp/>
        <stp>T&amp;T0</stp>
        <stp>DAT</stp>
        <stp>194</stp>
        <tr r="A202" s="1"/>
      </tp>
      <tp t="s">
        <v>19:06:07.400</v>
        <stp/>
        <stp>T&amp;T1</stp>
        <stp>DAT</stp>
        <stp>195</stp>
        <tr r="G203" s="1"/>
      </tp>
      <tp t="s">
        <v>19:06:06.042</v>
        <stp/>
        <stp>T&amp;T0</stp>
        <stp>DAT</stp>
        <stp>195</stp>
        <tr r="A203" s="1"/>
      </tp>
      <tp t="s">
        <v>19:06:07.400</v>
        <stp/>
        <stp>T&amp;T1</stp>
        <stp>DAT</stp>
        <stp>194</stp>
        <tr r="G202" s="1"/>
      </tp>
      <tp t="s">
        <v>19:06:05.570</v>
        <stp/>
        <stp>T&amp;T0</stp>
        <stp>DAT</stp>
        <stp>196</stp>
        <tr r="A204" s="1"/>
      </tp>
      <tp t="s">
        <v>19:06:07.400</v>
        <stp/>
        <stp>T&amp;T1</stp>
        <stp>DAT</stp>
        <stp>197</stp>
        <tr r="G205" s="1"/>
      </tp>
      <tp t="s">
        <v>19:06:05.567</v>
        <stp/>
        <stp>T&amp;T0</stp>
        <stp>DAT</stp>
        <stp>197</stp>
        <tr r="A205" s="1"/>
      </tp>
      <tp t="s">
        <v>19:06:07.400</v>
        <stp/>
        <stp>T&amp;T1</stp>
        <stp>DAT</stp>
        <stp>196</stp>
        <tr r="G204" s="1"/>
      </tp>
      <tp t="s">
        <v>19:06:05.567</v>
        <stp/>
        <stp>T&amp;T0</stp>
        <stp>DAT</stp>
        <stp>198</stp>
        <tr r="A206" s="1"/>
      </tp>
      <tp t="s">
        <v>19:06:05.580</v>
        <stp/>
        <stp>T&amp;T1</stp>
        <stp>DAT</stp>
        <stp>199</stp>
        <tr r="G207" s="1"/>
      </tp>
      <tp t="s">
        <v>19:06:05.566</v>
        <stp/>
        <stp>T&amp;T0</stp>
        <stp>DAT</stp>
        <stp>199</stp>
        <tr r="A207" s="1"/>
      </tp>
      <tp t="s">
        <v>19:06:07.400</v>
        <stp/>
        <stp>T&amp;T1</stp>
        <stp>DAT</stp>
        <stp>198</stp>
        <tr r="G206" s="1"/>
      </tp>
      <tp t="s">
        <v>19:06:10.942</v>
        <stp/>
        <stp>T&amp;T0</stp>
        <stp>DAT</stp>
        <stp>180</stp>
        <tr r="A188" s="1"/>
      </tp>
      <tp t="s">
        <v>19:06:09.015</v>
        <stp/>
        <stp>T&amp;T1</stp>
        <stp>DAT</stp>
        <stp>181</stp>
        <tr r="G189" s="1"/>
      </tp>
      <tp t="s">
        <v>19:06:10.718</v>
        <stp/>
        <stp>T&amp;T0</stp>
        <stp>DAT</stp>
        <stp>181</stp>
        <tr r="A189" s="1"/>
      </tp>
      <tp t="s">
        <v>19:06:10.015</v>
        <stp/>
        <stp>T&amp;T1</stp>
        <stp>DAT</stp>
        <stp>180</stp>
        <tr r="G188" s="1"/>
      </tp>
      <tp t="s">
        <v>19:06:10.718</v>
        <stp/>
        <stp>T&amp;T0</stp>
        <stp>DAT</stp>
        <stp>182</stp>
        <tr r="A190" s="1"/>
      </tp>
      <tp t="s">
        <v>19:06:09.015</v>
        <stp/>
        <stp>T&amp;T1</stp>
        <stp>DAT</stp>
        <stp>183</stp>
        <tr r="G191" s="1"/>
      </tp>
      <tp t="s">
        <v>19:06:09.018</v>
        <stp/>
        <stp>T&amp;T0</stp>
        <stp>DAT</stp>
        <stp>183</stp>
        <tr r="A191" s="1"/>
      </tp>
      <tp t="s">
        <v>19:06:09.015</v>
        <stp/>
        <stp>T&amp;T1</stp>
        <stp>DAT</stp>
        <stp>182</stp>
        <tr r="G190" s="1"/>
      </tp>
      <tp t="s">
        <v>19:06:09.016</v>
        <stp/>
        <stp>T&amp;T0</stp>
        <stp>DAT</stp>
        <stp>184</stp>
        <tr r="A192" s="1"/>
      </tp>
      <tp t="s">
        <v>19:06:07.925</v>
        <stp/>
        <stp>T&amp;T1</stp>
        <stp>DAT</stp>
        <stp>185</stp>
        <tr r="G193" s="1"/>
      </tp>
      <tp t="s">
        <v>19:06:09.016</v>
        <stp/>
        <stp>T&amp;T0</stp>
        <stp>DAT</stp>
        <stp>185</stp>
        <tr r="A193" s="1"/>
      </tp>
      <tp t="s">
        <v>19:06:08.593</v>
        <stp/>
        <stp>T&amp;T1</stp>
        <stp>DAT</stp>
        <stp>184</stp>
        <tr r="G192" s="1"/>
      </tp>
      <tp t="s">
        <v>19:06:09.015</v>
        <stp/>
        <stp>T&amp;T0</stp>
        <stp>DAT</stp>
        <stp>186</stp>
        <tr r="A194" s="1"/>
      </tp>
      <tp t="s">
        <v>19:06:07.650</v>
        <stp/>
        <stp>T&amp;T1</stp>
        <stp>DAT</stp>
        <stp>187</stp>
        <tr r="G195" s="1"/>
      </tp>
      <tp t="s">
        <v>19:06:09.015</v>
        <stp/>
        <stp>T&amp;T0</stp>
        <stp>DAT</stp>
        <stp>187</stp>
        <tr r="A195" s="1"/>
      </tp>
      <tp t="s">
        <v>19:06:07.662</v>
        <stp/>
        <stp>T&amp;T1</stp>
        <stp>DAT</stp>
        <stp>186</stp>
        <tr r="G194" s="1"/>
      </tp>
      <tp t="s">
        <v>19:06:07.771</v>
        <stp/>
        <stp>T&amp;T0</stp>
        <stp>DAT</stp>
        <stp>188</stp>
        <tr r="A196" s="1"/>
      </tp>
      <tp t="s">
        <v>19:06:07.650</v>
        <stp/>
        <stp>T&amp;T1</stp>
        <stp>DAT</stp>
        <stp>189</stp>
        <tr r="G197" s="1"/>
      </tp>
      <tp t="s">
        <v>19:06:07.690</v>
        <stp/>
        <stp>T&amp;T0</stp>
        <stp>DAT</stp>
        <stp>189</stp>
        <tr r="A197" s="1"/>
      </tp>
      <tp t="s">
        <v>19:06:07.650</v>
        <stp/>
        <stp>T&amp;T1</stp>
        <stp>DAT</stp>
        <stp>188</stp>
        <tr r="G196" s="1"/>
      </tp>
      <tp t="s">
        <v>Comprador</v>
        <stp/>
        <stp>T&amp;T0</stp>
        <stp>AGR</stp>
        <stp>436</stp>
        <tr r="D444" s="1"/>
      </tp>
      <tp t="s">
        <v>19:06:15.116</v>
        <stp/>
        <stp>T&amp;T0</stp>
        <stp>DAT</stp>
        <stp>150</stp>
        <tr r="A158" s="1"/>
      </tp>
      <tp t="s">
        <v>Vendedor</v>
        <stp/>
        <stp>T&amp;T1</stp>
        <stp>AGR</stp>
        <stp>437</stp>
        <tr r="J445" s="1"/>
      </tp>
      <tp t="s">
        <v>19:06:36.779</v>
        <stp/>
        <stp>T&amp;T1</stp>
        <stp>DAT</stp>
        <stp>151</stp>
        <tr r="G159" s="1"/>
      </tp>
      <tp t="s">
        <v>Comprador</v>
        <stp/>
        <stp>T&amp;T0</stp>
        <stp>AGR</stp>
        <stp>437</stp>
        <tr r="D445" s="1"/>
      </tp>
      <tp t="s">
        <v>19:06:14.991</v>
        <stp/>
        <stp>T&amp;T0</stp>
        <stp>DAT</stp>
        <stp>151</stp>
        <tr r="A159" s="1"/>
      </tp>
      <tp t="s">
        <v>Vendedor</v>
        <stp/>
        <stp>T&amp;T1</stp>
        <stp>AGR</stp>
        <stp>436</stp>
        <tr r="J444" s="1"/>
      </tp>
      <tp t="s">
        <v>19:06:36.781</v>
        <stp/>
        <stp>T&amp;T1</stp>
        <stp>DAT</stp>
        <stp>150</stp>
        <tr r="G158" s="1"/>
      </tp>
      <tp t="s">
        <v>Comprador</v>
        <stp/>
        <stp>T&amp;T0</stp>
        <stp>AGR</stp>
        <stp>434</stp>
        <tr r="D442" s="1"/>
      </tp>
      <tp t="s">
        <v>19:06:14.991</v>
        <stp/>
        <stp>T&amp;T0</stp>
        <stp>DAT</stp>
        <stp>152</stp>
        <tr r="A160" s="1"/>
      </tp>
      <tp t="s">
        <v>Vendedor</v>
        <stp/>
        <stp>T&amp;T1</stp>
        <stp>AGR</stp>
        <stp>435</stp>
        <tr r="J443" s="1"/>
      </tp>
      <tp t="s">
        <v>19:06:36.778</v>
        <stp/>
        <stp>T&amp;T1</stp>
        <stp>DAT</stp>
        <stp>153</stp>
        <tr r="G161" s="1"/>
      </tp>
      <tp t="s">
        <v>Comprador</v>
        <stp/>
        <stp>T&amp;T0</stp>
        <stp>AGR</stp>
        <stp>435</stp>
        <tr r="D443" s="1"/>
      </tp>
      <tp t="s">
        <v>19:06:14.019</v>
        <stp/>
        <stp>T&amp;T0</stp>
        <stp>DAT</stp>
        <stp>153</stp>
        <tr r="A161" s="1"/>
      </tp>
      <tp t="s">
        <v>Vendedor</v>
        <stp/>
        <stp>T&amp;T1</stp>
        <stp>AGR</stp>
        <stp>434</stp>
        <tr r="J442" s="1"/>
      </tp>
      <tp t="s">
        <v>19:06:36.779</v>
        <stp/>
        <stp>T&amp;T1</stp>
        <stp>DAT</stp>
        <stp>152</stp>
        <tr r="G160" s="1"/>
      </tp>
      <tp t="s">
        <v>Comprador</v>
        <stp/>
        <stp>T&amp;T0</stp>
        <stp>AGR</stp>
        <stp>432</stp>
        <tr r="D440" s="1"/>
      </tp>
      <tp t="s">
        <v>19:06:13.842</v>
        <stp/>
        <stp>T&amp;T0</stp>
        <stp>DAT</stp>
        <stp>154</stp>
        <tr r="A162" s="1"/>
      </tp>
      <tp t="s">
        <v>Vendedor</v>
        <stp/>
        <stp>T&amp;T1</stp>
        <stp>AGR</stp>
        <stp>433</stp>
        <tr r="J441" s="1"/>
      </tp>
      <tp t="s">
        <v>19:06:36.778</v>
        <stp/>
        <stp>T&amp;T1</stp>
        <stp>DAT</stp>
        <stp>155</stp>
        <tr r="G163" s="1"/>
      </tp>
      <tp t="s">
        <v>Comprador</v>
        <stp/>
        <stp>T&amp;T0</stp>
        <stp>AGR</stp>
        <stp>433</stp>
        <tr r="D441" s="1"/>
      </tp>
      <tp t="s">
        <v>19:06:13.804</v>
        <stp/>
        <stp>T&amp;T0</stp>
        <stp>DAT</stp>
        <stp>155</stp>
        <tr r="A163" s="1"/>
      </tp>
      <tp t="s">
        <v>Vendedor</v>
        <stp/>
        <stp>T&amp;T1</stp>
        <stp>AGR</stp>
        <stp>432</stp>
        <tr r="J440" s="1"/>
      </tp>
      <tp t="s">
        <v>19:06:36.778</v>
        <stp/>
        <stp>T&amp;T1</stp>
        <stp>DAT</stp>
        <stp>154</stp>
        <tr r="G162" s="1"/>
      </tp>
      <tp t="s">
        <v>Comprador</v>
        <stp/>
        <stp>T&amp;T0</stp>
        <stp>AGR</stp>
        <stp>430</stp>
        <tr r="D438" s="1"/>
      </tp>
      <tp t="s">
        <v>19:06:13.803</v>
        <stp/>
        <stp>T&amp;T0</stp>
        <stp>DAT</stp>
        <stp>156</stp>
        <tr r="A164" s="1"/>
      </tp>
      <tp t="s">
        <v>Vendedor</v>
        <stp/>
        <stp>T&amp;T1</stp>
        <stp>AGR</stp>
        <stp>431</stp>
        <tr r="J439" s="1"/>
      </tp>
      <tp t="s">
        <v>19:06:36.143</v>
        <stp/>
        <stp>T&amp;T1</stp>
        <stp>DAT</stp>
        <stp>157</stp>
        <tr r="G165" s="1"/>
      </tp>
      <tp t="s">
        <v>Comprador</v>
        <stp/>
        <stp>T&amp;T0</stp>
        <stp>AGR</stp>
        <stp>431</stp>
        <tr r="D439" s="1"/>
      </tp>
      <tp t="s">
        <v>19:06:13.803</v>
        <stp/>
        <stp>T&amp;T0</stp>
        <stp>DAT</stp>
        <stp>157</stp>
        <tr r="A165" s="1"/>
      </tp>
      <tp t="s">
        <v>Vendedor</v>
        <stp/>
        <stp>T&amp;T1</stp>
        <stp>AGR</stp>
        <stp>430</stp>
        <tr r="J438" s="1"/>
      </tp>
      <tp t="s">
        <v>19:06:36.778</v>
        <stp/>
        <stp>T&amp;T1</stp>
        <stp>DAT</stp>
        <stp>156</stp>
        <tr r="G164" s="1"/>
      </tp>
      <tp t="s">
        <v>19:06:13.801</v>
        <stp/>
        <stp>T&amp;T0</stp>
        <stp>DAT</stp>
        <stp>158</stp>
        <tr r="A166" s="1"/>
      </tp>
      <tp t="s">
        <v>19:06:33.326</v>
        <stp/>
        <stp>T&amp;T1</stp>
        <stp>DAT</stp>
        <stp>159</stp>
        <tr r="G167" s="1"/>
      </tp>
      <tp t="s">
        <v>19:06:13.592</v>
        <stp/>
        <stp>T&amp;T0</stp>
        <stp>DAT</stp>
        <stp>159</stp>
        <tr r="A167" s="1"/>
      </tp>
      <tp t="s">
        <v>19:06:34.609</v>
        <stp/>
        <stp>T&amp;T1</stp>
        <stp>DAT</stp>
        <stp>158</stp>
        <tr r="G166" s="1"/>
      </tp>
      <tp t="s">
        <v>Comprador</v>
        <stp/>
        <stp>T&amp;T0</stp>
        <stp>AGR</stp>
        <stp>438</stp>
        <tr r="D446" s="1"/>
      </tp>
      <tp t="s">
        <v>Vendedor</v>
        <stp/>
        <stp>T&amp;T1</stp>
        <stp>AGR</stp>
        <stp>439</stp>
        <tr r="J447" s="1"/>
      </tp>
      <tp t="s">
        <v>Comprador</v>
        <stp/>
        <stp>T&amp;T0</stp>
        <stp>AGR</stp>
        <stp>439</stp>
        <tr r="D447" s="1"/>
      </tp>
      <tp t="s">
        <v>Vendedor</v>
        <stp/>
        <stp>T&amp;T1</stp>
        <stp>AGR</stp>
        <stp>438</stp>
        <tr r="J446" s="1"/>
      </tp>
      <tp t="s">
        <v>Comprador</v>
        <stp/>
        <stp>T&amp;T0</stp>
        <stp>AGR</stp>
        <stp>426</stp>
        <tr r="D434" s="1"/>
      </tp>
      <tp t="s">
        <v>19:06:15.994</v>
        <stp/>
        <stp>T&amp;T0</stp>
        <stp>DAT</stp>
        <stp>140</stp>
        <tr r="A148" s="1"/>
      </tp>
      <tp t="s">
        <v>Vendedor</v>
        <stp/>
        <stp>T&amp;T1</stp>
        <stp>AGR</stp>
        <stp>427</stp>
        <tr r="J435" s="1"/>
      </tp>
      <tp t="s">
        <v>19:06:38.452</v>
        <stp/>
        <stp>T&amp;T1</stp>
        <stp>DAT</stp>
        <stp>141</stp>
        <tr r="G149" s="1"/>
      </tp>
      <tp t="s">
        <v>Comprador</v>
        <stp/>
        <stp>T&amp;T0</stp>
        <stp>AGR</stp>
        <stp>427</stp>
        <tr r="D435" s="1"/>
      </tp>
      <tp t="s">
        <v>19:06:15.627</v>
        <stp/>
        <stp>T&amp;T0</stp>
        <stp>DAT</stp>
        <stp>141</stp>
        <tr r="A149" s="1"/>
      </tp>
      <tp t="s">
        <v>Vendedor</v>
        <stp/>
        <stp>T&amp;T1</stp>
        <stp>AGR</stp>
        <stp>426</stp>
        <tr r="J434" s="1"/>
      </tp>
      <tp t="s">
        <v>19:06:38.587</v>
        <stp/>
        <stp>T&amp;T1</stp>
        <stp>DAT</stp>
        <stp>140</stp>
        <tr r="G148" s="1"/>
      </tp>
      <tp t="s">
        <v>Comprador</v>
        <stp/>
        <stp>T&amp;T0</stp>
        <stp>AGR</stp>
        <stp>424</stp>
        <tr r="D432" s="1"/>
      </tp>
      <tp t="s">
        <v>19:06:15.607</v>
        <stp/>
        <stp>T&amp;T0</stp>
        <stp>DAT</stp>
        <stp>142</stp>
        <tr r="A150" s="1"/>
      </tp>
      <tp t="s">
        <v>Vendedor</v>
        <stp/>
        <stp>T&amp;T1</stp>
        <stp>AGR</stp>
        <stp>425</stp>
        <tr r="J433" s="1"/>
      </tp>
      <tp t="s">
        <v>19:06:36.816</v>
        <stp/>
        <stp>T&amp;T1</stp>
        <stp>DAT</stp>
        <stp>143</stp>
        <tr r="G151" s="1"/>
      </tp>
      <tp t="s">
        <v>Comprador</v>
        <stp/>
        <stp>T&amp;T0</stp>
        <stp>AGR</stp>
        <stp>425</stp>
        <tr r="D433" s="1"/>
      </tp>
      <tp t="s">
        <v>19:06:15.606</v>
        <stp/>
        <stp>T&amp;T0</stp>
        <stp>DAT</stp>
        <stp>143</stp>
        <tr r="A151" s="1"/>
      </tp>
      <tp t="s">
        <v>Vendedor</v>
        <stp/>
        <stp>T&amp;T1</stp>
        <stp>AGR</stp>
        <stp>424</stp>
        <tr r="J432" s="1"/>
      </tp>
      <tp t="s">
        <v>19:06:38.452</v>
        <stp/>
        <stp>T&amp;T1</stp>
        <stp>DAT</stp>
        <stp>142</stp>
        <tr r="G150" s="1"/>
      </tp>
      <tp t="s">
        <v>Comprador</v>
        <stp/>
        <stp>T&amp;T0</stp>
        <stp>AGR</stp>
        <stp>422</stp>
        <tr r="D430" s="1"/>
      </tp>
      <tp t="s">
        <v>19:06:15.606</v>
        <stp/>
        <stp>T&amp;T0</stp>
        <stp>DAT</stp>
        <stp>144</stp>
        <tr r="A152" s="1"/>
      </tp>
      <tp t="s">
        <v>Vendedor</v>
        <stp/>
        <stp>T&amp;T1</stp>
        <stp>AGR</stp>
        <stp>423</stp>
        <tr r="J431" s="1"/>
      </tp>
      <tp t="s">
        <v>19:06:36.781</v>
        <stp/>
        <stp>T&amp;T1</stp>
        <stp>DAT</stp>
        <stp>145</stp>
        <tr r="G153" s="1"/>
      </tp>
      <tp t="s">
        <v>Comprador</v>
        <stp/>
        <stp>T&amp;T0</stp>
        <stp>AGR</stp>
        <stp>423</stp>
        <tr r="D431" s="1"/>
      </tp>
      <tp t="s">
        <v>19:06:15.606</v>
        <stp/>
        <stp>T&amp;T0</stp>
        <stp>DAT</stp>
        <stp>145</stp>
        <tr r="A153" s="1"/>
      </tp>
      <tp t="s">
        <v>Vendedor</v>
        <stp/>
        <stp>T&amp;T1</stp>
        <stp>AGR</stp>
        <stp>422</stp>
        <tr r="J430" s="1"/>
      </tp>
      <tp t="s">
        <v>19:06:36.800</v>
        <stp/>
        <stp>T&amp;T1</stp>
        <stp>DAT</stp>
        <stp>144</stp>
        <tr r="G152" s="1"/>
      </tp>
      <tp t="s">
        <v>Comprador</v>
        <stp/>
        <stp>T&amp;T0</stp>
        <stp>AGR</stp>
        <stp>420</stp>
        <tr r="D428" s="1"/>
      </tp>
      <tp t="s">
        <v>19:06:15.605</v>
        <stp/>
        <stp>T&amp;T0</stp>
        <stp>DAT</stp>
        <stp>146</stp>
        <tr r="A154" s="1"/>
      </tp>
      <tp t="s">
        <v>Vendedor</v>
        <stp/>
        <stp>T&amp;T1</stp>
        <stp>AGR</stp>
        <stp>421</stp>
        <tr r="J429" s="1"/>
      </tp>
      <tp t="s">
        <v>19:06:36.781</v>
        <stp/>
        <stp>T&amp;T1</stp>
        <stp>DAT</stp>
        <stp>147</stp>
        <tr r="G155" s="1"/>
      </tp>
      <tp t="s">
        <v>Comprador</v>
        <stp/>
        <stp>T&amp;T0</stp>
        <stp>AGR</stp>
        <stp>421</stp>
        <tr r="D429" s="1"/>
      </tp>
      <tp t="s">
        <v>19:06:15.605</v>
        <stp/>
        <stp>T&amp;T0</stp>
        <stp>DAT</stp>
        <stp>147</stp>
        <tr r="A155" s="1"/>
      </tp>
      <tp t="s">
        <v>Vendedor</v>
        <stp/>
        <stp>T&amp;T1</stp>
        <stp>AGR</stp>
        <stp>420</stp>
        <tr r="J428" s="1"/>
      </tp>
      <tp t="s">
        <v>19:06:36.781</v>
        <stp/>
        <stp>T&amp;T1</stp>
        <stp>DAT</stp>
        <stp>146</stp>
        <tr r="G154" s="1"/>
      </tp>
      <tp t="s">
        <v>19:06:15.605</v>
        <stp/>
        <stp>T&amp;T0</stp>
        <stp>DAT</stp>
        <stp>148</stp>
        <tr r="A156" s="1"/>
      </tp>
      <tp t="s">
        <v>19:06:36.781</v>
        <stp/>
        <stp>T&amp;T1</stp>
        <stp>DAT</stp>
        <stp>149</stp>
        <tr r="G157" s="1"/>
      </tp>
      <tp t="s">
        <v>19:06:15.429</v>
        <stp/>
        <stp>T&amp;T0</stp>
        <stp>DAT</stp>
        <stp>149</stp>
        <tr r="A157" s="1"/>
      </tp>
      <tp t="s">
        <v>19:06:36.781</v>
        <stp/>
        <stp>T&amp;T1</stp>
        <stp>DAT</stp>
        <stp>148</stp>
        <tr r="G156" s="1"/>
      </tp>
      <tp t="s">
        <v>Comprador</v>
        <stp/>
        <stp>T&amp;T0</stp>
        <stp>AGR</stp>
        <stp>428</stp>
        <tr r="D436" s="1"/>
      </tp>
      <tp t="s">
        <v>Vendedor</v>
        <stp/>
        <stp>T&amp;T1</stp>
        <stp>AGR</stp>
        <stp>429</stp>
        <tr r="J437" s="1"/>
      </tp>
      <tp t="s">
        <v>Comprador</v>
        <stp/>
        <stp>T&amp;T0</stp>
        <stp>AGR</stp>
        <stp>429</stp>
        <tr r="D437" s="1"/>
      </tp>
      <tp t="s">
        <v>Vendedor</v>
        <stp/>
        <stp>T&amp;T1</stp>
        <stp>AGR</stp>
        <stp>428</stp>
        <tr r="J436" s="1"/>
      </tp>
      <tp t="s">
        <v>Comprador</v>
        <stp/>
        <stp>T&amp;T0</stp>
        <stp>AGR</stp>
        <stp>416</stp>
        <tr r="D424" s="1"/>
      </tp>
      <tp t="s">
        <v>19:06:10.943</v>
        <stp/>
        <stp>T&amp;T0</stp>
        <stp>DAT</stp>
        <stp>170</stp>
        <tr r="A178" s="1"/>
      </tp>
      <tp t="s">
        <v>Vendedor</v>
        <stp/>
        <stp>T&amp;T1</stp>
        <stp>AGR</stp>
        <stp>417</stp>
        <tr r="J425" s="1"/>
      </tp>
      <tp t="s">
        <v>19:06:22.628</v>
        <stp/>
        <stp>T&amp;T1</stp>
        <stp>DAT</stp>
        <stp>171</stp>
        <tr r="G179" s="1"/>
      </tp>
      <tp t="s">
        <v>Comprador</v>
        <stp/>
        <stp>T&amp;T0</stp>
        <stp>AGR</stp>
        <stp>417</stp>
        <tr r="D425" s="1"/>
      </tp>
      <tp t="s">
        <v>19:06:10.943</v>
        <stp/>
        <stp>T&amp;T0</stp>
        <stp>DAT</stp>
        <stp>171</stp>
        <tr r="A179" s="1"/>
      </tp>
      <tp t="s">
        <v>Vendedor</v>
        <stp/>
        <stp>T&amp;T1</stp>
        <stp>AGR</stp>
        <stp>416</stp>
        <tr r="J424" s="1"/>
      </tp>
      <tp t="s">
        <v>19:06:22.849</v>
        <stp/>
        <stp>T&amp;T1</stp>
        <stp>DAT</stp>
        <stp>170</stp>
        <tr r="G178" s="1"/>
      </tp>
      <tp t="s">
        <v>Comprador</v>
        <stp/>
        <stp>T&amp;T0</stp>
        <stp>AGR</stp>
        <stp>414</stp>
        <tr r="D422" s="1"/>
      </tp>
      <tp t="s">
        <v>19:06:10.943</v>
        <stp/>
        <stp>T&amp;T0</stp>
        <stp>DAT</stp>
        <stp>172</stp>
        <tr r="A180" s="1"/>
      </tp>
      <tp t="s">
        <v>Vendedor</v>
        <stp/>
        <stp>T&amp;T1</stp>
        <stp>AGR</stp>
        <stp>415</stp>
        <tr r="J423" s="1"/>
      </tp>
      <tp t="s">
        <v>19:06:18.616</v>
        <stp/>
        <stp>T&amp;T1</stp>
        <stp>DAT</stp>
        <stp>173</stp>
        <tr r="G181" s="1"/>
      </tp>
      <tp t="s">
        <v>Comprador</v>
        <stp/>
        <stp>T&amp;T0</stp>
        <stp>AGR</stp>
        <stp>415</stp>
        <tr r="D423" s="1"/>
      </tp>
      <tp t="s">
        <v>19:06:10.943</v>
        <stp/>
        <stp>T&amp;T0</stp>
        <stp>DAT</stp>
        <stp>173</stp>
        <tr r="A181" s="1"/>
      </tp>
      <tp t="s">
        <v>Vendedor</v>
        <stp/>
        <stp>T&amp;T1</stp>
        <stp>AGR</stp>
        <stp>414</stp>
        <tr r="J422" s="1"/>
      </tp>
      <tp t="s">
        <v>19:06:22.008</v>
        <stp/>
        <stp>T&amp;T1</stp>
        <stp>DAT</stp>
        <stp>172</stp>
        <tr r="G180" s="1"/>
      </tp>
      <tp t="s">
        <v>Comprador</v>
        <stp/>
        <stp>T&amp;T0</stp>
        <stp>AGR</stp>
        <stp>412</stp>
        <tr r="D420" s="1"/>
      </tp>
      <tp t="s">
        <v>19:06:10.943</v>
        <stp/>
        <stp>T&amp;T0</stp>
        <stp>DAT</stp>
        <stp>174</stp>
        <tr r="A182" s="1"/>
      </tp>
      <tp t="s">
        <v>Vendedor</v>
        <stp/>
        <stp>T&amp;T1</stp>
        <stp>AGR</stp>
        <stp>413</stp>
        <tr r="J421" s="1"/>
      </tp>
      <tp t="s">
        <v>19:06:17.770</v>
        <stp/>
        <stp>T&amp;T1</stp>
        <stp>DAT</stp>
        <stp>175</stp>
        <tr r="G183" s="1"/>
      </tp>
      <tp t="s">
        <v>Comprador</v>
        <stp/>
        <stp>T&amp;T0</stp>
        <stp>AGR</stp>
        <stp>413</stp>
        <tr r="D421" s="1"/>
      </tp>
      <tp t="s">
        <v>19:06:10.943</v>
        <stp/>
        <stp>T&amp;T0</stp>
        <stp>DAT</stp>
        <stp>175</stp>
        <tr r="A183" s="1"/>
      </tp>
      <tp t="s">
        <v>Vendedor</v>
        <stp/>
        <stp>T&amp;T1</stp>
        <stp>AGR</stp>
        <stp>412</stp>
        <tr r="J420" s="1"/>
      </tp>
      <tp t="s">
        <v>19:06:17.852</v>
        <stp/>
        <stp>T&amp;T1</stp>
        <stp>DAT</stp>
        <stp>174</stp>
        <tr r="G182" s="1"/>
      </tp>
      <tp t="s">
        <v>Comprador</v>
        <stp/>
        <stp>T&amp;T0</stp>
        <stp>AGR</stp>
        <stp>410</stp>
        <tr r="D418" s="1"/>
      </tp>
      <tp t="s">
        <v>19:06:10.942</v>
        <stp/>
        <stp>T&amp;T0</stp>
        <stp>DAT</stp>
        <stp>176</stp>
        <tr r="A184" s="1"/>
      </tp>
      <tp t="s">
        <v>Vendedor</v>
        <stp/>
        <stp>T&amp;T1</stp>
        <stp>AGR</stp>
        <stp>411</stp>
        <tr r="J419" s="1"/>
      </tp>
      <tp t="s">
        <v>19:06:14.075</v>
        <stp/>
        <stp>T&amp;T1</stp>
        <stp>DAT</stp>
        <stp>177</stp>
        <tr r="G185" s="1"/>
      </tp>
      <tp t="s">
        <v>Comprador</v>
        <stp/>
        <stp>T&amp;T0</stp>
        <stp>AGR</stp>
        <stp>411</stp>
        <tr r="D419" s="1"/>
      </tp>
      <tp t="s">
        <v>19:06:10.942</v>
        <stp/>
        <stp>T&amp;T0</stp>
        <stp>DAT</stp>
        <stp>177</stp>
        <tr r="A185" s="1"/>
      </tp>
      <tp t="s">
        <v>Vendedor</v>
        <stp/>
        <stp>T&amp;T1</stp>
        <stp>AGR</stp>
        <stp>410</stp>
        <tr r="J418" s="1"/>
      </tp>
      <tp t="s">
        <v>19:06:16.804</v>
        <stp/>
        <stp>T&amp;T1</stp>
        <stp>DAT</stp>
        <stp>176</stp>
        <tr r="G184" s="1"/>
      </tp>
      <tp t="s">
        <v>19:06:10.942</v>
        <stp/>
        <stp>T&amp;T0</stp>
        <stp>DAT</stp>
        <stp>178</stp>
        <tr r="A186" s="1"/>
      </tp>
      <tp t="s">
        <v>19:06:10.181</v>
        <stp/>
        <stp>T&amp;T1</stp>
        <stp>DAT</stp>
        <stp>179</stp>
        <tr r="G187" s="1"/>
      </tp>
      <tp t="s">
        <v>19:06:10.942</v>
        <stp/>
        <stp>T&amp;T0</stp>
        <stp>DAT</stp>
        <stp>179</stp>
        <tr r="A187" s="1"/>
      </tp>
      <tp t="s">
        <v>19:06:13.350</v>
        <stp/>
        <stp>T&amp;T1</stp>
        <stp>DAT</stp>
        <stp>178</stp>
        <tr r="G186" s="1"/>
      </tp>
      <tp t="s">
        <v>Comprador</v>
        <stp/>
        <stp>T&amp;T0</stp>
        <stp>AGR</stp>
        <stp>418</stp>
        <tr r="D426" s="1"/>
      </tp>
      <tp t="s">
        <v>Vendedor</v>
        <stp/>
        <stp>T&amp;T1</stp>
        <stp>AGR</stp>
        <stp>419</stp>
        <tr r="J427" s="1"/>
      </tp>
      <tp t="s">
        <v>Comprador</v>
        <stp/>
        <stp>T&amp;T0</stp>
        <stp>AGR</stp>
        <stp>419</stp>
        <tr r="D427" s="1"/>
      </tp>
      <tp t="s">
        <v>Vendedor</v>
        <stp/>
        <stp>T&amp;T1</stp>
        <stp>AGR</stp>
        <stp>418</stp>
        <tr r="J426" s="1"/>
      </tp>
      <tp t="s">
        <v>Comprador</v>
        <stp/>
        <stp>T&amp;T0</stp>
        <stp>AGR</stp>
        <stp>406</stp>
        <tr r="D414" s="1"/>
      </tp>
      <tp t="s">
        <v>19:06:12.298</v>
        <stp/>
        <stp>T&amp;T0</stp>
        <stp>DAT</stp>
        <stp>160</stp>
        <tr r="A168" s="1"/>
      </tp>
      <tp t="s">
        <v>Vendedor</v>
        <stp/>
        <stp>T&amp;T1</stp>
        <stp>AGR</stp>
        <stp>407</stp>
        <tr r="J415" s="1"/>
      </tp>
      <tp t="s">
        <v>19:06:32.711</v>
        <stp/>
        <stp>T&amp;T1</stp>
        <stp>DAT</stp>
        <stp>161</stp>
        <tr r="G169" s="1"/>
      </tp>
      <tp t="s">
        <v>Comprador</v>
        <stp/>
        <stp>T&amp;T0</stp>
        <stp>AGR</stp>
        <stp>407</stp>
        <tr r="D415" s="1"/>
      </tp>
      <tp t="s">
        <v>19:06:10.981</v>
        <stp/>
        <stp>T&amp;T0</stp>
        <stp>DAT</stp>
        <stp>161</stp>
        <tr r="A169" s="1"/>
      </tp>
      <tp t="s">
        <v>Vendedor</v>
        <stp/>
        <stp>T&amp;T1</stp>
        <stp>AGR</stp>
        <stp>406</stp>
        <tr r="J414" s="1"/>
      </tp>
      <tp t="s">
        <v>19:06:32.973</v>
        <stp/>
        <stp>T&amp;T1</stp>
        <stp>DAT</stp>
        <stp>160</stp>
        <tr r="G168" s="1"/>
      </tp>
      <tp t="s">
        <v>Comprador</v>
        <stp/>
        <stp>T&amp;T0</stp>
        <stp>AGR</stp>
        <stp>404</stp>
        <tr r="D412" s="1"/>
      </tp>
      <tp t="s">
        <v>19:06:10.971</v>
        <stp/>
        <stp>T&amp;T0</stp>
        <stp>DAT</stp>
        <stp>162</stp>
        <tr r="A170" s="1"/>
      </tp>
      <tp t="s">
        <v>Vendedor</v>
        <stp/>
        <stp>T&amp;T1</stp>
        <stp>AGR</stp>
        <stp>405</stp>
        <tr r="J413" s="1"/>
      </tp>
      <tp t="s">
        <v>19:06:32.711</v>
        <stp/>
        <stp>T&amp;T1</stp>
        <stp>DAT</stp>
        <stp>163</stp>
        <tr r="G171" s="1"/>
      </tp>
      <tp t="s">
        <v>Comprador</v>
        <stp/>
        <stp>T&amp;T0</stp>
        <stp>AGR</stp>
        <stp>405</stp>
        <tr r="D413" s="1"/>
      </tp>
      <tp t="s">
        <v>19:06:10.971</v>
        <stp/>
        <stp>T&amp;T0</stp>
        <stp>DAT</stp>
        <stp>163</stp>
        <tr r="A171" s="1"/>
      </tp>
      <tp t="s">
        <v>Vendedor</v>
        <stp/>
        <stp>T&amp;T1</stp>
        <stp>AGR</stp>
        <stp>404</stp>
        <tr r="J412" s="1"/>
      </tp>
      <tp t="s">
        <v>19:06:32.711</v>
        <stp/>
        <stp>T&amp;T1</stp>
        <stp>DAT</stp>
        <stp>162</stp>
        <tr r="G170" s="1"/>
      </tp>
      <tp t="s">
        <v>Comprador</v>
        <stp/>
        <stp>T&amp;T0</stp>
        <stp>AGR</stp>
        <stp>402</stp>
        <tr r="D410" s="1"/>
      </tp>
      <tp t="s">
        <v>19:06:10.971</v>
        <stp/>
        <stp>T&amp;T0</stp>
        <stp>DAT</stp>
        <stp>164</stp>
        <tr r="A172" s="1"/>
      </tp>
      <tp t="s">
        <v>Vendedor</v>
        <stp/>
        <stp>T&amp;T1</stp>
        <stp>AGR</stp>
        <stp>403</stp>
        <tr r="J411" s="1"/>
      </tp>
      <tp t="s">
        <v>19:06:32.564</v>
        <stp/>
        <stp>T&amp;T1</stp>
        <stp>DAT</stp>
        <stp>165</stp>
        <tr r="G173" s="1"/>
      </tp>
      <tp t="s">
        <v>Comprador</v>
        <stp/>
        <stp>T&amp;T0</stp>
        <stp>AGR</stp>
        <stp>403</stp>
        <tr r="D411" s="1"/>
      </tp>
      <tp t="s">
        <v>19:06:10.970</v>
        <stp/>
        <stp>T&amp;T0</stp>
        <stp>DAT</stp>
        <stp>165</stp>
        <tr r="A173" s="1"/>
      </tp>
      <tp t="s">
        <v>Vendedor</v>
        <stp/>
        <stp>T&amp;T1</stp>
        <stp>AGR</stp>
        <stp>402</stp>
        <tr r="J410" s="1"/>
      </tp>
      <tp t="s">
        <v>19:06:32.711</v>
        <stp/>
        <stp>T&amp;T1</stp>
        <stp>DAT</stp>
        <stp>164</stp>
        <tr r="G172" s="1"/>
      </tp>
      <tp t="s">
        <v>Comprador</v>
        <stp/>
        <stp>T&amp;T0</stp>
        <stp>AGR</stp>
        <stp>400</stp>
        <tr r="D408" s="1"/>
      </tp>
      <tp t="s">
        <v>19:06:10.946</v>
        <stp/>
        <stp>T&amp;T0</stp>
        <stp>DAT</stp>
        <stp>166</stp>
        <tr r="A174" s="1"/>
      </tp>
      <tp t="s">
        <v>Vendedor</v>
        <stp/>
        <stp>T&amp;T1</stp>
        <stp>AGR</stp>
        <stp>401</stp>
        <tr r="J409" s="1"/>
      </tp>
      <tp t="s">
        <v>19:06:30.708</v>
        <stp/>
        <stp>T&amp;T1</stp>
        <stp>DAT</stp>
        <stp>167</stp>
        <tr r="G175" s="1"/>
      </tp>
      <tp t="s">
        <v>Comprador</v>
        <stp/>
        <stp>T&amp;T0</stp>
        <stp>AGR</stp>
        <stp>401</stp>
        <tr r="D409" s="1"/>
      </tp>
      <tp t="s">
        <v>19:06:10.944</v>
        <stp/>
        <stp>T&amp;T0</stp>
        <stp>DAT</stp>
        <stp>167</stp>
        <tr r="A175" s="1"/>
      </tp>
      <tp t="s">
        <v>Vendedor</v>
        <stp/>
        <stp>T&amp;T1</stp>
        <stp>AGR</stp>
        <stp>400</stp>
        <tr r="J408" s="1"/>
      </tp>
      <tp t="s">
        <v>19:06:30.708</v>
        <stp/>
        <stp>T&amp;T1</stp>
        <stp>DAT</stp>
        <stp>166</stp>
        <tr r="G174" s="1"/>
      </tp>
      <tp t="s">
        <v>19:06:10.944</v>
        <stp/>
        <stp>T&amp;T0</stp>
        <stp>DAT</stp>
        <stp>168</stp>
        <tr r="A176" s="1"/>
      </tp>
      <tp t="s">
        <v>19:06:27.779</v>
        <stp/>
        <stp>T&amp;T1</stp>
        <stp>DAT</stp>
        <stp>169</stp>
        <tr r="G177" s="1"/>
      </tp>
      <tp t="s">
        <v>19:06:10.943</v>
        <stp/>
        <stp>T&amp;T0</stp>
        <stp>DAT</stp>
        <stp>169</stp>
        <tr r="A177" s="1"/>
      </tp>
      <tp t="s">
        <v>19:06:30.708</v>
        <stp/>
        <stp>T&amp;T1</stp>
        <stp>DAT</stp>
        <stp>168</stp>
        <tr r="G176" s="1"/>
      </tp>
      <tp t="s">
        <v>Comprador</v>
        <stp/>
        <stp>T&amp;T0</stp>
        <stp>AGR</stp>
        <stp>408</stp>
        <tr r="D416" s="1"/>
      </tp>
      <tp t="s">
        <v>Vendedor</v>
        <stp/>
        <stp>T&amp;T1</stp>
        <stp>AGR</stp>
        <stp>409</stp>
        <tr r="J417" s="1"/>
      </tp>
      <tp t="s">
        <v>Comprador</v>
        <stp/>
        <stp>T&amp;T0</stp>
        <stp>AGR</stp>
        <stp>409</stp>
        <tr r="D417" s="1"/>
      </tp>
      <tp t="s">
        <v>Vendedor</v>
        <stp/>
        <stp>T&amp;T1</stp>
        <stp>AGR</stp>
        <stp>408</stp>
        <tr r="J416" s="1"/>
      </tp>
      <tp t="s">
        <v>Comprador</v>
        <stp/>
        <stp>T&amp;T0</stp>
        <stp>AGR</stp>
        <stp>476</stp>
        <tr r="D484" s="1"/>
      </tp>
      <tp t="s">
        <v>19:06:24.490</v>
        <stp/>
        <stp>T&amp;T0</stp>
        <stp>DAT</stp>
        <stp>110</stp>
        <tr r="A118" s="1"/>
      </tp>
      <tp t="s">
        <v>Vendedor</v>
        <stp/>
        <stp>T&amp;T1</stp>
        <stp>AGR</stp>
        <stp>477</stp>
        <tr r="J485" s="1"/>
      </tp>
      <tp t="s">
        <v>19:06:47.421</v>
        <stp/>
        <stp>T&amp;T1</stp>
        <stp>DAT</stp>
        <stp>111</stp>
        <tr r="G119" s="1"/>
      </tp>
      <tp t="s">
        <v>Comprador</v>
        <stp/>
        <stp>T&amp;T0</stp>
        <stp>AGR</stp>
        <stp>477</stp>
        <tr r="D485" s="1"/>
      </tp>
      <tp t="s">
        <v>19:06:24.490</v>
        <stp/>
        <stp>T&amp;T0</stp>
        <stp>DAT</stp>
        <stp>111</stp>
        <tr r="A119" s="1"/>
      </tp>
      <tp t="s">
        <v>Vendedor</v>
        <stp/>
        <stp>T&amp;T1</stp>
        <stp>AGR</stp>
        <stp>476</stp>
        <tr r="J484" s="1"/>
      </tp>
      <tp t="s">
        <v>19:06:47.421</v>
        <stp/>
        <stp>T&amp;T1</stp>
        <stp>DAT</stp>
        <stp>110</stp>
        <tr r="G118" s="1"/>
      </tp>
      <tp t="s">
        <v>Comprador</v>
        <stp/>
        <stp>T&amp;T0</stp>
        <stp>AGR</stp>
        <stp>474</stp>
        <tr r="D482" s="1"/>
      </tp>
      <tp t="s">
        <v>19:06:24.490</v>
        <stp/>
        <stp>T&amp;T0</stp>
        <stp>DAT</stp>
        <stp>112</stp>
        <tr r="A120" s="1"/>
      </tp>
      <tp t="s">
        <v>Vendedor</v>
        <stp/>
        <stp>T&amp;T1</stp>
        <stp>AGR</stp>
        <stp>475</stp>
        <tr r="J483" s="1"/>
      </tp>
      <tp t="s">
        <v>19:06:47.420</v>
        <stp/>
        <stp>T&amp;T1</stp>
        <stp>DAT</stp>
        <stp>113</stp>
        <tr r="G121" s="1"/>
      </tp>
      <tp t="s">
        <v>Comprador</v>
        <stp/>
        <stp>T&amp;T0</stp>
        <stp>AGR</stp>
        <stp>475</stp>
        <tr r="D483" s="1"/>
      </tp>
      <tp t="s">
        <v>19:06:23.899</v>
        <stp/>
        <stp>T&amp;T0</stp>
        <stp>DAT</stp>
        <stp>113</stp>
        <tr r="A121" s="1"/>
      </tp>
      <tp t="s">
        <v>Vendedor</v>
        <stp/>
        <stp>T&amp;T1</stp>
        <stp>AGR</stp>
        <stp>474</stp>
        <tr r="J482" s="1"/>
      </tp>
      <tp t="s">
        <v>19:06:47.420</v>
        <stp/>
        <stp>T&amp;T1</stp>
        <stp>DAT</stp>
        <stp>112</stp>
        <tr r="G120" s="1"/>
      </tp>
      <tp t="s">
        <v>Comprador</v>
        <stp/>
        <stp>T&amp;T0</stp>
        <stp>AGR</stp>
        <stp>472</stp>
        <tr r="D480" s="1"/>
      </tp>
      <tp t="s">
        <v>19:06:23.733</v>
        <stp/>
        <stp>T&amp;T0</stp>
        <stp>DAT</stp>
        <stp>114</stp>
        <tr r="A122" s="1"/>
      </tp>
      <tp t="s">
        <v>Vendedor</v>
        <stp/>
        <stp>T&amp;T1</stp>
        <stp>AGR</stp>
        <stp>473</stp>
        <tr r="J481" s="1"/>
      </tp>
      <tp t="s">
        <v>19:06:47.262</v>
        <stp/>
        <stp>T&amp;T1</stp>
        <stp>DAT</stp>
        <stp>115</stp>
        <tr r="G123" s="1"/>
      </tp>
      <tp t="s">
        <v>Comprador</v>
        <stp/>
        <stp>T&amp;T0</stp>
        <stp>AGR</stp>
        <stp>473</stp>
        <tr r="D481" s="1"/>
      </tp>
      <tp t="s">
        <v>19:06:23.733</v>
        <stp/>
        <stp>T&amp;T0</stp>
        <stp>DAT</stp>
        <stp>115</stp>
        <tr r="A123" s="1"/>
      </tp>
      <tp t="s">
        <v>Vendedor</v>
        <stp/>
        <stp>T&amp;T1</stp>
        <stp>AGR</stp>
        <stp>472</stp>
        <tr r="J480" s="1"/>
      </tp>
      <tp t="s">
        <v>19:06:47.262</v>
        <stp/>
        <stp>T&amp;T1</stp>
        <stp>DAT</stp>
        <stp>114</stp>
        <tr r="G122" s="1"/>
      </tp>
      <tp t="s">
        <v>Comprador</v>
        <stp/>
        <stp>T&amp;T0</stp>
        <stp>AGR</stp>
        <stp>470</stp>
        <tr r="D478" s="1"/>
      </tp>
      <tp t="s">
        <v>19:06:23.733</v>
        <stp/>
        <stp>T&amp;T0</stp>
        <stp>DAT</stp>
        <stp>116</stp>
        <tr r="A124" s="1"/>
      </tp>
      <tp t="s">
        <v>Vendedor</v>
        <stp/>
        <stp>T&amp;T1</stp>
        <stp>AGR</stp>
        <stp>471</stp>
        <tr r="J479" s="1"/>
      </tp>
      <tp t="s">
        <v>19:06:47.113</v>
        <stp/>
        <stp>T&amp;T1</stp>
        <stp>DAT</stp>
        <stp>117</stp>
        <tr r="G125" s="1"/>
      </tp>
      <tp t="s">
        <v>Comprador</v>
        <stp/>
        <stp>T&amp;T0</stp>
        <stp>AGR</stp>
        <stp>471</stp>
        <tr r="D479" s="1"/>
      </tp>
      <tp t="s">
        <v>19:06:23.733</v>
        <stp/>
        <stp>T&amp;T0</stp>
        <stp>DAT</stp>
        <stp>117</stp>
        <tr r="A125" s="1"/>
      </tp>
      <tp t="s">
        <v>Vendedor</v>
        <stp/>
        <stp>T&amp;T1</stp>
        <stp>AGR</stp>
        <stp>470</stp>
        <tr r="J478" s="1"/>
      </tp>
      <tp t="s">
        <v>19:06:47.113</v>
        <stp/>
        <stp>T&amp;T1</stp>
        <stp>DAT</stp>
        <stp>116</stp>
        <tr r="G124" s="1"/>
      </tp>
      <tp t="s">
        <v>19:06:23.733</v>
        <stp/>
        <stp>T&amp;T0</stp>
        <stp>DAT</stp>
        <stp>118</stp>
        <tr r="A126" s="1"/>
      </tp>
      <tp t="s">
        <v>19:06:46.643</v>
        <stp/>
        <stp>T&amp;T1</stp>
        <stp>DAT</stp>
        <stp>119</stp>
        <tr r="G127" s="1"/>
      </tp>
      <tp t="s">
        <v>19:06:22.458</v>
        <stp/>
        <stp>T&amp;T0</stp>
        <stp>DAT</stp>
        <stp>119</stp>
        <tr r="A127" s="1"/>
      </tp>
      <tp t="s">
        <v>19:06:46.654</v>
        <stp/>
        <stp>T&amp;T1</stp>
        <stp>DAT</stp>
        <stp>118</stp>
        <tr r="G126" s="1"/>
      </tp>
      <tp t="s">
        <v>Comprador</v>
        <stp/>
        <stp>T&amp;T0</stp>
        <stp>AGR</stp>
        <stp>478</stp>
        <tr r="D486" s="1"/>
      </tp>
      <tp t="s">
        <v>Vendedor</v>
        <stp/>
        <stp>T&amp;T1</stp>
        <stp>AGR</stp>
        <stp>479</stp>
        <tr r="J487" s="1"/>
      </tp>
      <tp t="s">
        <v>Comprador</v>
        <stp/>
        <stp>T&amp;T0</stp>
        <stp>AGR</stp>
        <stp>479</stp>
        <tr r="D487" s="1"/>
      </tp>
      <tp t="s">
        <v>Vendedor</v>
        <stp/>
        <stp>T&amp;T1</stp>
        <stp>AGR</stp>
        <stp>478</stp>
        <tr r="J486" s="1"/>
      </tp>
      <tp t="s">
        <v>Comprador</v>
        <stp/>
        <stp>T&amp;T0</stp>
        <stp>AGR</stp>
        <stp>466</stp>
        <tr r="D474" s="1"/>
      </tp>
      <tp t="s">
        <v>19:06:30.709</v>
        <stp/>
        <stp>T&amp;T0</stp>
        <stp>DAT</stp>
        <stp>100</stp>
        <tr r="A108" s="1"/>
      </tp>
      <tp t="s">
        <v>Vendedor</v>
        <stp/>
        <stp>T&amp;T1</stp>
        <stp>AGR</stp>
        <stp>467</stp>
        <tr r="J475" s="1"/>
      </tp>
      <tp t="s">
        <v>19:06:48.560</v>
        <stp/>
        <stp>T&amp;T1</stp>
        <stp>DAT</stp>
        <stp>101</stp>
        <tr r="G109" s="1"/>
      </tp>
      <tp t="s">
        <v>Comprador</v>
        <stp/>
        <stp>T&amp;T0</stp>
        <stp>AGR</stp>
        <stp>467</stp>
        <tr r="D475" s="1"/>
      </tp>
      <tp t="s">
        <v>19:06:28.990</v>
        <stp/>
        <stp>T&amp;T0</stp>
        <stp>DAT</stp>
        <stp>101</stp>
        <tr r="A109" s="1"/>
      </tp>
      <tp t="s">
        <v>Vendedor</v>
        <stp/>
        <stp>T&amp;T1</stp>
        <stp>AGR</stp>
        <stp>466</stp>
        <tr r="J474" s="1"/>
      </tp>
      <tp t="s">
        <v>19:06:49.799</v>
        <stp/>
        <stp>T&amp;T1</stp>
        <stp>DAT</stp>
        <stp>100</stp>
        <tr r="G108" s="1"/>
      </tp>
      <tp t="s">
        <v>Comprador</v>
        <stp/>
        <stp>T&amp;T0</stp>
        <stp>AGR</stp>
        <stp>464</stp>
        <tr r="D472" s="1"/>
      </tp>
      <tp t="s">
        <v>19:06:28.990</v>
        <stp/>
        <stp>T&amp;T0</stp>
        <stp>DAT</stp>
        <stp>102</stp>
        <tr r="A110" s="1"/>
      </tp>
      <tp t="s">
        <v>Vendedor</v>
        <stp/>
        <stp>T&amp;T1</stp>
        <stp>AGR</stp>
        <stp>465</stp>
        <tr r="J473" s="1"/>
      </tp>
      <tp t="s">
        <v>19:06:48.559</v>
        <stp/>
        <stp>T&amp;T1</stp>
        <stp>DAT</stp>
        <stp>103</stp>
        <tr r="G111" s="1"/>
      </tp>
      <tp t="s">
        <v>Comprador</v>
        <stp/>
        <stp>T&amp;T0</stp>
        <stp>AGR</stp>
        <stp>465</stp>
        <tr r="D473" s="1"/>
      </tp>
      <tp t="s">
        <v>19:06:28.989</v>
        <stp/>
        <stp>T&amp;T0</stp>
        <stp>DAT</stp>
        <stp>103</stp>
        <tr r="A111" s="1"/>
      </tp>
      <tp t="s">
        <v>Vendedor</v>
        <stp/>
        <stp>T&amp;T1</stp>
        <stp>AGR</stp>
        <stp>464</stp>
        <tr r="J472" s="1"/>
      </tp>
      <tp t="s">
        <v>19:06:48.559</v>
        <stp/>
        <stp>T&amp;T1</stp>
        <stp>DAT</stp>
        <stp>102</stp>
        <tr r="G110" s="1"/>
      </tp>
      <tp t="s">
        <v>Comprador</v>
        <stp/>
        <stp>T&amp;T0</stp>
        <stp>AGR</stp>
        <stp>462</stp>
        <tr r="D470" s="1"/>
      </tp>
      <tp t="s">
        <v>19:06:26.703</v>
        <stp/>
        <stp>T&amp;T0</stp>
        <stp>DAT</stp>
        <stp>104</stp>
        <tr r="A112" s="1"/>
      </tp>
      <tp t="s">
        <v>Vendedor</v>
        <stp/>
        <stp>T&amp;T1</stp>
        <stp>AGR</stp>
        <stp>463</stp>
        <tr r="J471" s="1"/>
      </tp>
      <tp t="s">
        <v>19:06:47.422</v>
        <stp/>
        <stp>T&amp;T1</stp>
        <stp>DAT</stp>
        <stp>105</stp>
        <tr r="G113" s="1"/>
      </tp>
      <tp t="s">
        <v>Comprador</v>
        <stp/>
        <stp>T&amp;T0</stp>
        <stp>AGR</stp>
        <stp>463</stp>
        <tr r="D471" s="1"/>
      </tp>
      <tp t="s">
        <v>19:06:26.703</v>
        <stp/>
        <stp>T&amp;T0</stp>
        <stp>DAT</stp>
        <stp>105</stp>
        <tr r="A113" s="1"/>
      </tp>
      <tp t="s">
        <v>Vendedor</v>
        <stp/>
        <stp>T&amp;T1</stp>
        <stp>AGR</stp>
        <stp>462</stp>
        <tr r="J470" s="1"/>
      </tp>
      <tp t="s">
        <v>19:06:48.559</v>
        <stp/>
        <stp>T&amp;T1</stp>
        <stp>DAT</stp>
        <stp>104</stp>
        <tr r="G112" s="1"/>
      </tp>
      <tp t="s">
        <v>Comprador</v>
        <stp/>
        <stp>T&amp;T0</stp>
        <stp>AGR</stp>
        <stp>460</stp>
        <tr r="D468" s="1"/>
      </tp>
      <tp t="s">
        <v>19:06:25.992</v>
        <stp/>
        <stp>T&amp;T0</stp>
        <stp>DAT</stp>
        <stp>106</stp>
        <tr r="A114" s="1"/>
      </tp>
      <tp t="s">
        <v>Vendedor</v>
        <stp/>
        <stp>T&amp;T1</stp>
        <stp>AGR</stp>
        <stp>461</stp>
        <tr r="J469" s="1"/>
      </tp>
      <tp t="s">
        <v>19:06:47.421</v>
        <stp/>
        <stp>T&amp;T1</stp>
        <stp>DAT</stp>
        <stp>107</stp>
        <tr r="G115" s="1"/>
      </tp>
      <tp t="s">
        <v>Comprador</v>
        <stp/>
        <stp>T&amp;T0</stp>
        <stp>AGR</stp>
        <stp>461</stp>
        <tr r="D469" s="1"/>
      </tp>
      <tp t="s">
        <v>19:06:24.492</v>
        <stp/>
        <stp>T&amp;T0</stp>
        <stp>DAT</stp>
        <stp>107</stp>
        <tr r="A115" s="1"/>
      </tp>
      <tp t="s">
        <v>Vendedor</v>
        <stp/>
        <stp>T&amp;T1</stp>
        <stp>AGR</stp>
        <stp>460</stp>
        <tr r="J468" s="1"/>
      </tp>
      <tp t="s">
        <v>19:06:47.422</v>
        <stp/>
        <stp>T&amp;T1</stp>
        <stp>DAT</stp>
        <stp>106</stp>
        <tr r="G114" s="1"/>
      </tp>
      <tp t="s">
        <v>19:06:24.490</v>
        <stp/>
        <stp>T&amp;T0</stp>
        <stp>DAT</stp>
        <stp>108</stp>
        <tr r="A116" s="1"/>
      </tp>
      <tp t="s">
        <v>19:06:47.421</v>
        <stp/>
        <stp>T&amp;T1</stp>
        <stp>DAT</stp>
        <stp>109</stp>
        <tr r="G117" s="1"/>
      </tp>
      <tp t="s">
        <v>19:06:24.490</v>
        <stp/>
        <stp>T&amp;T0</stp>
        <stp>DAT</stp>
        <stp>109</stp>
        <tr r="A117" s="1"/>
      </tp>
      <tp t="s">
        <v>19:06:47.421</v>
        <stp/>
        <stp>T&amp;T1</stp>
        <stp>DAT</stp>
        <stp>108</stp>
        <tr r="G116" s="1"/>
      </tp>
      <tp t="s">
        <v>Comprador</v>
        <stp/>
        <stp>T&amp;T0</stp>
        <stp>AGR</stp>
        <stp>468</stp>
        <tr r="D476" s="1"/>
      </tp>
      <tp t="s">
        <v>Vendedor</v>
        <stp/>
        <stp>T&amp;T1</stp>
        <stp>AGR</stp>
        <stp>469</stp>
        <tr r="J477" s="1"/>
      </tp>
      <tp t="s">
        <v>Comprador</v>
        <stp/>
        <stp>T&amp;T0</stp>
        <stp>AGR</stp>
        <stp>469</stp>
        <tr r="D477" s="1"/>
      </tp>
      <tp t="s">
        <v>Vendedor</v>
        <stp/>
        <stp>T&amp;T1</stp>
        <stp>AGR</stp>
        <stp>468</stp>
        <tr r="J476" s="1"/>
      </tp>
      <tp t="s">
        <v>Comprador</v>
        <stp/>
        <stp>T&amp;T0</stp>
        <stp>AGR</stp>
        <stp>456</stp>
        <tr r="D464" s="1"/>
      </tp>
      <tp t="s">
        <v>19:06:19.009</v>
        <stp/>
        <stp>T&amp;T0</stp>
        <stp>DAT</stp>
        <stp>130</stp>
        <tr r="A138" s="1"/>
      </tp>
      <tp t="s">
        <v>Vendedor</v>
        <stp/>
        <stp>T&amp;T1</stp>
        <stp>AGR</stp>
        <stp>457</stp>
        <tr r="J465" s="1"/>
      </tp>
      <tp t="s">
        <v>19:06:40.043</v>
        <stp/>
        <stp>T&amp;T1</stp>
        <stp>DAT</stp>
        <stp>131</stp>
        <tr r="G139" s="1"/>
      </tp>
      <tp t="s">
        <v>Comprador</v>
        <stp/>
        <stp>T&amp;T0</stp>
        <stp>AGR</stp>
        <stp>457</stp>
        <tr r="D465" s="1"/>
      </tp>
      <tp t="s">
        <v>19:06:19.009</v>
        <stp/>
        <stp>T&amp;T0</stp>
        <stp>DAT</stp>
        <stp>131</stp>
        <tr r="A139" s="1"/>
      </tp>
      <tp t="s">
        <v>Vendedor</v>
        <stp/>
        <stp>T&amp;T1</stp>
        <stp>AGR</stp>
        <stp>456</stp>
        <tr r="J464" s="1"/>
      </tp>
      <tp t="s">
        <v>19:06:40.043</v>
        <stp/>
        <stp>T&amp;T1</stp>
        <stp>DAT</stp>
        <stp>130</stp>
        <tr r="G138" s="1"/>
      </tp>
      <tp t="s">
        <v>Comprador</v>
        <stp/>
        <stp>T&amp;T0</stp>
        <stp>AGR</stp>
        <stp>454</stp>
        <tr r="D462" s="1"/>
      </tp>
      <tp t="s">
        <v>19:06:19.009</v>
        <stp/>
        <stp>T&amp;T0</stp>
        <stp>DAT</stp>
        <stp>132</stp>
        <tr r="A140" s="1"/>
      </tp>
      <tp t="s">
        <v>Vendedor</v>
        <stp/>
        <stp>T&amp;T1</stp>
        <stp>AGR</stp>
        <stp>455</stp>
        <tr r="J463" s="1"/>
      </tp>
      <tp t="s">
        <v>19:06:40.010</v>
        <stp/>
        <stp>T&amp;T1</stp>
        <stp>DAT</stp>
        <stp>133</stp>
        <tr r="G141" s="1"/>
      </tp>
      <tp t="s">
        <v>Comprador</v>
        <stp/>
        <stp>T&amp;T0</stp>
        <stp>AGR</stp>
        <stp>455</stp>
        <tr r="D463" s="1"/>
      </tp>
      <tp t="s">
        <v>19:06:19.009</v>
        <stp/>
        <stp>T&amp;T0</stp>
        <stp>DAT</stp>
        <stp>133</stp>
        <tr r="A141" s="1"/>
      </tp>
      <tp t="s">
        <v>Vendedor</v>
        <stp/>
        <stp>T&amp;T1</stp>
        <stp>AGR</stp>
        <stp>454</stp>
        <tr r="J462" s="1"/>
      </tp>
      <tp t="s">
        <v>19:06:40.012</v>
        <stp/>
        <stp>T&amp;T1</stp>
        <stp>DAT</stp>
        <stp>132</stp>
        <tr r="G140" s="1"/>
      </tp>
      <tp t="s">
        <v>Comprador</v>
        <stp/>
        <stp>T&amp;T0</stp>
        <stp>AGR</stp>
        <stp>452</stp>
        <tr r="D460" s="1"/>
      </tp>
      <tp t="s">
        <v>19:06:19.009</v>
        <stp/>
        <stp>T&amp;T0</stp>
        <stp>DAT</stp>
        <stp>134</stp>
        <tr r="A142" s="1"/>
      </tp>
      <tp t="s">
        <v>Vendedor</v>
        <stp/>
        <stp>T&amp;T1</stp>
        <stp>AGR</stp>
        <stp>453</stp>
        <tr r="J461" s="1"/>
      </tp>
      <tp t="s">
        <v>19:06:40.010</v>
        <stp/>
        <stp>T&amp;T1</stp>
        <stp>DAT</stp>
        <stp>135</stp>
        <tr r="G143" s="1"/>
      </tp>
      <tp t="s">
        <v>Comprador</v>
        <stp/>
        <stp>T&amp;T0</stp>
        <stp>AGR</stp>
        <stp>453</stp>
        <tr r="D461" s="1"/>
      </tp>
      <tp t="s">
        <v>19:06:17.769</v>
        <stp/>
        <stp>T&amp;T0</stp>
        <stp>DAT</stp>
        <stp>135</stp>
        <tr r="A143" s="1"/>
      </tp>
      <tp t="s">
        <v>Vendedor</v>
        <stp/>
        <stp>T&amp;T1</stp>
        <stp>AGR</stp>
        <stp>452</stp>
        <tr r="J460" s="1"/>
      </tp>
      <tp t="s">
        <v>19:06:40.010</v>
        <stp/>
        <stp>T&amp;T1</stp>
        <stp>DAT</stp>
        <stp>134</stp>
        <tr r="G142" s="1"/>
      </tp>
      <tp t="s">
        <v>Comprador</v>
        <stp/>
        <stp>T&amp;T0</stp>
        <stp>AGR</stp>
        <stp>450</stp>
        <tr r="D458" s="1"/>
      </tp>
      <tp t="s">
        <v>19:06:16.805</v>
        <stp/>
        <stp>T&amp;T0</stp>
        <stp>DAT</stp>
        <stp>136</stp>
        <tr r="A144" s="1"/>
      </tp>
      <tp t="s">
        <v>Vendedor</v>
        <stp/>
        <stp>T&amp;T1</stp>
        <stp>AGR</stp>
        <stp>451</stp>
        <tr r="J459" s="1"/>
      </tp>
      <tp t="s">
        <v>19:06:38.785</v>
        <stp/>
        <stp>T&amp;T1</stp>
        <stp>DAT</stp>
        <stp>137</stp>
        <tr r="G145" s="1"/>
      </tp>
      <tp t="s">
        <v>Comprador</v>
        <stp/>
        <stp>T&amp;T0</stp>
        <stp>AGR</stp>
        <stp>451</stp>
        <tr r="D459" s="1"/>
      </tp>
      <tp t="s">
        <v>19:06:16.805</v>
        <stp/>
        <stp>T&amp;T0</stp>
        <stp>DAT</stp>
        <stp>137</stp>
        <tr r="A145" s="1"/>
      </tp>
      <tp t="s">
        <v>Vendedor</v>
        <stp/>
        <stp>T&amp;T1</stp>
        <stp>AGR</stp>
        <stp>450</stp>
        <tr r="J458" s="1"/>
      </tp>
      <tp t="s">
        <v>19:06:40.003</v>
        <stp/>
        <stp>T&amp;T1</stp>
        <stp>DAT</stp>
        <stp>136</stp>
        <tr r="G144" s="1"/>
      </tp>
      <tp t="s">
        <v>19:06:16.804</v>
        <stp/>
        <stp>T&amp;T0</stp>
        <stp>DAT</stp>
        <stp>138</stp>
        <tr r="A146" s="1"/>
      </tp>
      <tp t="s">
        <v>19:06:38.610</v>
        <stp/>
        <stp>T&amp;T1</stp>
        <stp>DAT</stp>
        <stp>139</stp>
        <tr r="G147" s="1"/>
      </tp>
      <tp t="s">
        <v>19:06:16.069</v>
        <stp/>
        <stp>T&amp;T0</stp>
        <stp>DAT</stp>
        <stp>139</stp>
        <tr r="A147" s="1"/>
      </tp>
      <tp t="s">
        <v>19:06:38.733</v>
        <stp/>
        <stp>T&amp;T1</stp>
        <stp>DAT</stp>
        <stp>138</stp>
        <tr r="G146" s="1"/>
      </tp>
      <tp t="s">
        <v>Comprador</v>
        <stp/>
        <stp>T&amp;T0</stp>
        <stp>AGR</stp>
        <stp>458</stp>
        <tr r="D466" s="1"/>
      </tp>
      <tp t="s">
        <v>Vendedor</v>
        <stp/>
        <stp>T&amp;T1</stp>
        <stp>AGR</stp>
        <stp>459</stp>
        <tr r="J467" s="1"/>
      </tp>
      <tp t="s">
        <v>Comprador</v>
        <stp/>
        <stp>T&amp;T0</stp>
        <stp>AGR</stp>
        <stp>459</stp>
        <tr r="D467" s="1"/>
      </tp>
      <tp t="s">
        <v>Vendedor</v>
        <stp/>
        <stp>T&amp;T1</stp>
        <stp>AGR</stp>
        <stp>458</stp>
        <tr r="J466" s="1"/>
      </tp>
      <tp t="s">
        <v>Comprador</v>
        <stp/>
        <stp>T&amp;T0</stp>
        <stp>AGR</stp>
        <stp>446</stp>
        <tr r="D454" s="1"/>
      </tp>
      <tp t="s">
        <v>19:06:20.296</v>
        <stp/>
        <stp>T&amp;T0</stp>
        <stp>DAT</stp>
        <stp>120</stp>
        <tr r="A128" s="1"/>
      </tp>
      <tp t="s">
        <v>Vendedor</v>
        <stp/>
        <stp>T&amp;T1</stp>
        <stp>AGR</stp>
        <stp>447</stp>
        <tr r="J455" s="1"/>
      </tp>
      <tp t="s">
        <v>19:06:43.951</v>
        <stp/>
        <stp>T&amp;T1</stp>
        <stp>DAT</stp>
        <stp>121</stp>
        <tr r="G129" s="1"/>
      </tp>
      <tp t="s">
        <v>Comprador</v>
        <stp/>
        <stp>T&amp;T0</stp>
        <stp>AGR</stp>
        <stp>447</stp>
        <tr r="D455" s="1"/>
      </tp>
      <tp t="s">
        <v>19:06:19.632</v>
        <stp/>
        <stp>T&amp;T0</stp>
        <stp>DAT</stp>
        <stp>121</stp>
        <tr r="A129" s="1"/>
      </tp>
      <tp t="s">
        <v>Vendedor</v>
        <stp/>
        <stp>T&amp;T1</stp>
        <stp>AGR</stp>
        <stp>446</stp>
        <tr r="J454" s="1"/>
      </tp>
      <tp t="s">
        <v>19:06:44.024</v>
        <stp/>
        <stp>T&amp;T1</stp>
        <stp>DAT</stp>
        <stp>120</stp>
        <tr r="G128" s="1"/>
      </tp>
      <tp t="s">
        <v>Comprador</v>
        <stp/>
        <stp>T&amp;T0</stp>
        <stp>AGR</stp>
        <stp>444</stp>
        <tr r="D452" s="1"/>
      </tp>
      <tp t="s">
        <v>19:06:19.126</v>
        <stp/>
        <stp>T&amp;T0</stp>
        <stp>DAT</stp>
        <stp>122</stp>
        <tr r="A130" s="1"/>
      </tp>
      <tp t="s">
        <v>Vendedor</v>
        <stp/>
        <stp>T&amp;T1</stp>
        <stp>AGR</stp>
        <stp>445</stp>
        <tr r="J453" s="1"/>
      </tp>
      <tp t="s">
        <v>19:06:42.378</v>
        <stp/>
        <stp>T&amp;T1</stp>
        <stp>DAT</stp>
        <stp>123</stp>
        <tr r="G131" s="1"/>
      </tp>
      <tp t="s">
        <v>Comprador</v>
        <stp/>
        <stp>T&amp;T0</stp>
        <stp>AGR</stp>
        <stp>445</stp>
        <tr r="D453" s="1"/>
      </tp>
      <tp t="s">
        <v>19:06:19.011</v>
        <stp/>
        <stp>T&amp;T0</stp>
        <stp>DAT</stp>
        <stp>123</stp>
        <tr r="A131" s="1"/>
      </tp>
      <tp t="s">
        <v>Vendedor</v>
        <stp/>
        <stp>T&amp;T1</stp>
        <stp>AGR</stp>
        <stp>444</stp>
        <tr r="J452" s="1"/>
      </tp>
      <tp t="s">
        <v>19:06:43.099</v>
        <stp/>
        <stp>T&amp;T1</stp>
        <stp>DAT</stp>
        <stp>122</stp>
        <tr r="G130" s="1"/>
      </tp>
      <tp t="s">
        <v>Comprador</v>
        <stp/>
        <stp>T&amp;T0</stp>
        <stp>AGR</stp>
        <stp>442</stp>
        <tr r="D450" s="1"/>
      </tp>
      <tp t="s">
        <v>19:06:19.009</v>
        <stp/>
        <stp>T&amp;T0</stp>
        <stp>DAT</stp>
        <stp>124</stp>
        <tr r="A132" s="1"/>
      </tp>
      <tp t="s">
        <v>Vendedor</v>
        <stp/>
        <stp>T&amp;T1</stp>
        <stp>AGR</stp>
        <stp>443</stp>
        <tr r="J451" s="1"/>
      </tp>
      <tp t="s">
        <v>19:06:40.997</v>
        <stp/>
        <stp>T&amp;T1</stp>
        <stp>DAT</stp>
        <stp>125</stp>
        <tr r="G133" s="1"/>
      </tp>
      <tp t="s">
        <v>Comprador</v>
        <stp/>
        <stp>T&amp;T0</stp>
        <stp>AGR</stp>
        <stp>443</stp>
        <tr r="D451" s="1"/>
      </tp>
      <tp t="s">
        <v>19:06:19.009</v>
        <stp/>
        <stp>T&amp;T0</stp>
        <stp>DAT</stp>
        <stp>125</stp>
        <tr r="A133" s="1"/>
      </tp>
      <tp t="s">
        <v>Vendedor</v>
        <stp/>
        <stp>T&amp;T1</stp>
        <stp>AGR</stp>
        <stp>442</stp>
        <tr r="J450" s="1"/>
      </tp>
      <tp t="s">
        <v>19:06:42.089</v>
        <stp/>
        <stp>T&amp;T1</stp>
        <stp>DAT</stp>
        <stp>124</stp>
        <tr r="G132" s="1"/>
      </tp>
      <tp t="s">
        <v>Comprador</v>
        <stp/>
        <stp>T&amp;T0</stp>
        <stp>AGR</stp>
        <stp>440</stp>
        <tr r="D448" s="1"/>
      </tp>
      <tp t="s">
        <v>19:06:19.009</v>
        <stp/>
        <stp>T&amp;T0</stp>
        <stp>DAT</stp>
        <stp>126</stp>
        <tr r="A134" s="1"/>
      </tp>
      <tp t="s">
        <v>Vendedor</v>
        <stp/>
        <stp>T&amp;T1</stp>
        <stp>AGR</stp>
        <stp>441</stp>
        <tr r="J449" s="1"/>
      </tp>
      <tp t="s">
        <v>19:06:40.424</v>
        <stp/>
        <stp>T&amp;T1</stp>
        <stp>DAT</stp>
        <stp>127</stp>
        <tr r="G135" s="1"/>
      </tp>
      <tp t="s">
        <v>Comprador</v>
        <stp/>
        <stp>T&amp;T0</stp>
        <stp>AGR</stp>
        <stp>441</stp>
        <tr r="D449" s="1"/>
      </tp>
      <tp t="s">
        <v>19:06:19.009</v>
        <stp/>
        <stp>T&amp;T0</stp>
        <stp>DAT</stp>
        <stp>127</stp>
        <tr r="A135" s="1"/>
      </tp>
      <tp t="s">
        <v>Vendedor</v>
        <stp/>
        <stp>T&amp;T1</stp>
        <stp>AGR</stp>
        <stp>440</stp>
        <tr r="J448" s="1"/>
      </tp>
      <tp t="s">
        <v>19:06:40.424</v>
        <stp/>
        <stp>T&amp;T1</stp>
        <stp>DAT</stp>
        <stp>126</stp>
        <tr r="G134" s="1"/>
      </tp>
      <tp t="s">
        <v>19:06:19.009</v>
        <stp/>
        <stp>T&amp;T0</stp>
        <stp>DAT</stp>
        <stp>128</stp>
        <tr r="A136" s="1"/>
      </tp>
      <tp t="s">
        <v>19:06:40.043</v>
        <stp/>
        <stp>T&amp;T1</stp>
        <stp>DAT</stp>
        <stp>129</stp>
        <tr r="G137" s="1"/>
      </tp>
      <tp t="s">
        <v>19:06:19.009</v>
        <stp/>
        <stp>T&amp;T0</stp>
        <stp>DAT</stp>
        <stp>129</stp>
        <tr r="A137" s="1"/>
      </tp>
      <tp t="s">
        <v>19:06:40.424</v>
        <stp/>
        <stp>T&amp;T1</stp>
        <stp>DAT</stp>
        <stp>128</stp>
        <tr r="G136" s="1"/>
      </tp>
      <tp t="s">
        <v>Comprador</v>
        <stp/>
        <stp>T&amp;T0</stp>
        <stp>AGR</stp>
        <stp>448</stp>
        <tr r="D456" s="1"/>
      </tp>
      <tp t="s">
        <v>Vendedor</v>
        <stp/>
        <stp>T&amp;T1</stp>
        <stp>AGR</stp>
        <stp>449</stp>
        <tr r="J457" s="1"/>
      </tp>
      <tp t="s">
        <v>Comprador</v>
        <stp/>
        <stp>T&amp;T0</stp>
        <stp>AGR</stp>
        <stp>449</stp>
        <tr r="D457" s="1"/>
      </tp>
      <tp t="s">
        <v>Vendedor</v>
        <stp/>
        <stp>T&amp;T1</stp>
        <stp>AGR</stp>
        <stp>448</stp>
        <tr r="J456" s="1"/>
      </tp>
      <tp t="s">
        <v>-346</v>
        <stp/>
        <stp>ESM6_M_0</stp>
        <stp>100</stp>
        <tr r="J2" s="1"/>
      </tp>
      <tp>
        <v>1</v>
        <stp/>
        <stp>T&amp;T0</stp>
        <stp>QUL</stp>
        <stp>99</stp>
        <tr r="C107" s="1"/>
      </tp>
      <tp>
        <v>2</v>
        <stp/>
        <stp>T&amp;T1</stp>
        <stp>QUL</stp>
        <stp>99</stp>
        <tr r="I107" s="1"/>
      </tp>
      <tp>
        <v>1</v>
        <stp/>
        <stp>T&amp;T0</stp>
        <stp>QUL</stp>
        <stp>98</stp>
        <tr r="C106" s="1"/>
      </tp>
      <tp>
        <v>1</v>
        <stp/>
        <stp>T&amp;T1</stp>
        <stp>QUL</stp>
        <stp>98</stp>
        <tr r="I106" s="1"/>
      </tp>
      <tp>
        <v>7347.5</v>
        <stp/>
        <stp>T&amp;T1</stp>
        <stp>PRE</stp>
        <stp>88</stp>
        <tr r="H96" s="1"/>
      </tp>
      <tp>
        <v>7346</v>
        <stp/>
        <stp>T&amp;T0</stp>
        <stp>PRE</stp>
        <stp>88</stp>
        <tr r="B96" s="1"/>
      </tp>
      <tp>
        <v>7347.5</v>
        <stp/>
        <stp>T&amp;T1</stp>
        <stp>PRE</stp>
        <stp>89</stp>
        <tr r="H97" s="1"/>
      </tp>
      <tp>
        <v>7346</v>
        <stp/>
        <stp>T&amp;T0</stp>
        <stp>PRE</stp>
        <stp>89</stp>
        <tr r="B97" s="1"/>
      </tp>
      <tp>
        <v>7347.5</v>
        <stp/>
        <stp>T&amp;T1</stp>
        <stp>PRE</stp>
        <stp>86</stp>
        <tr r="H94" s="1"/>
      </tp>
      <tp>
        <v>7346.25</v>
        <stp/>
        <stp>T&amp;T0</stp>
        <stp>PRE</stp>
        <stp>86</stp>
        <tr r="B94" s="1"/>
      </tp>
      <tp>
        <v>1</v>
        <stp/>
        <stp>T&amp;T0</stp>
        <stp>QUL</stp>
        <stp>91</stp>
        <tr r="C99" s="1"/>
      </tp>
      <tp>
        <v>1</v>
        <stp/>
        <stp>T&amp;T1</stp>
        <stp>QUL</stp>
        <stp>91</stp>
        <tr r="I99" s="1"/>
      </tp>
      <tp>
        <v>7347.5</v>
        <stp/>
        <stp>T&amp;T1</stp>
        <stp>PRE</stp>
        <stp>87</stp>
        <tr r="H95" s="1"/>
      </tp>
      <tp>
        <v>7346.25</v>
        <stp/>
        <stp>T&amp;T0</stp>
        <stp>PRE</stp>
        <stp>87</stp>
        <tr r="B95" s="1"/>
      </tp>
      <tp>
        <v>1</v>
        <stp/>
        <stp>T&amp;T0</stp>
        <stp>QUL</stp>
        <stp>90</stp>
        <tr r="C98" s="1"/>
      </tp>
      <tp>
        <v>1</v>
        <stp/>
        <stp>T&amp;T1</stp>
        <stp>QUL</stp>
        <stp>90</stp>
        <tr r="I98" s="1"/>
      </tp>
      <tp>
        <v>7347.5</v>
        <stp/>
        <stp>T&amp;T1</stp>
        <stp>PRE</stp>
        <stp>84</stp>
        <tr r="H92" s="1"/>
      </tp>
      <tp>
        <v>7346.25</v>
        <stp/>
        <stp>T&amp;T0</stp>
        <stp>PRE</stp>
        <stp>84</stp>
        <tr r="B92" s="1"/>
      </tp>
      <tp>
        <v>1</v>
        <stp/>
        <stp>T&amp;T0</stp>
        <stp>QUL</stp>
        <stp>93</stp>
        <tr r="C101" s="1"/>
      </tp>
      <tp>
        <v>1</v>
        <stp/>
        <stp>T&amp;T1</stp>
        <stp>QUL</stp>
        <stp>93</stp>
        <tr r="I101" s="1"/>
      </tp>
      <tp>
        <v>7347.5</v>
        <stp/>
        <stp>T&amp;T1</stp>
        <stp>PRE</stp>
        <stp>85</stp>
        <tr r="H93" s="1"/>
      </tp>
      <tp>
        <v>7346.25</v>
        <stp/>
        <stp>T&amp;T0</stp>
        <stp>PRE</stp>
        <stp>85</stp>
        <tr r="B93" s="1"/>
      </tp>
      <tp>
        <v>1</v>
        <stp/>
        <stp>T&amp;T0</stp>
        <stp>QUL</stp>
        <stp>92</stp>
        <tr r="C100" s="1"/>
      </tp>
      <tp>
        <v>3</v>
        <stp/>
        <stp>T&amp;T1</stp>
        <stp>QUL</stp>
        <stp>92</stp>
        <tr r="I100" s="1"/>
      </tp>
      <tp>
        <v>7347.5</v>
        <stp/>
        <stp>T&amp;T1</stp>
        <stp>PRE</stp>
        <stp>82</stp>
        <tr r="H90" s="1"/>
      </tp>
      <tp>
        <v>7346.5</v>
        <stp/>
        <stp>T&amp;T0</stp>
        <stp>PRE</stp>
        <stp>82</stp>
        <tr r="B90" s="1"/>
      </tp>
      <tp>
        <v>1</v>
        <stp/>
        <stp>T&amp;T0</stp>
        <stp>QUL</stp>
        <stp>95</stp>
        <tr r="C103" s="1"/>
      </tp>
      <tp>
        <v>1</v>
        <stp/>
        <stp>T&amp;T1</stp>
        <stp>QUL</stp>
        <stp>95</stp>
        <tr r="I103" s="1"/>
      </tp>
      <tp>
        <v>7347.5</v>
        <stp/>
        <stp>T&amp;T1</stp>
        <stp>PRE</stp>
        <stp>83</stp>
        <tr r="H91" s="1"/>
      </tp>
      <tp>
        <v>7346.25</v>
        <stp/>
        <stp>T&amp;T0</stp>
        <stp>PRE</stp>
        <stp>83</stp>
        <tr r="B91" s="1"/>
      </tp>
      <tp>
        <v>1</v>
        <stp/>
        <stp>T&amp;T0</stp>
        <stp>QUL</stp>
        <stp>94</stp>
        <tr r="C102" s="1"/>
      </tp>
      <tp>
        <v>1</v>
        <stp/>
        <stp>T&amp;T1</stp>
        <stp>QUL</stp>
        <stp>94</stp>
        <tr r="I102" s="1"/>
      </tp>
      <tp>
        <v>7347.5</v>
        <stp/>
        <stp>T&amp;T1</stp>
        <stp>PRE</stp>
        <stp>80</stp>
        <tr r="H88" s="1"/>
      </tp>
      <tp>
        <v>7347</v>
        <stp/>
        <stp>T&amp;T0</stp>
        <stp>PRE</stp>
        <stp>80</stp>
        <tr r="B88" s="1"/>
      </tp>
      <tp>
        <v>1</v>
        <stp/>
        <stp>T&amp;T0</stp>
        <stp>QUL</stp>
        <stp>97</stp>
        <tr r="C105" s="1"/>
      </tp>
      <tp>
        <v>1</v>
        <stp/>
        <stp>T&amp;T1</stp>
        <stp>QUL</stp>
        <stp>97</stp>
        <tr r="I105" s="1"/>
      </tp>
      <tp>
        <v>7347.5</v>
        <stp/>
        <stp>T&amp;T1</stp>
        <stp>PRE</stp>
        <stp>81</stp>
        <tr r="H89" s="1"/>
      </tp>
      <tp>
        <v>7346.75</v>
        <stp/>
        <stp>T&amp;T0</stp>
        <stp>PRE</stp>
        <stp>81</stp>
        <tr r="B89" s="1"/>
      </tp>
      <tp>
        <v>2</v>
        <stp/>
        <stp>T&amp;T0</stp>
        <stp>QUL</stp>
        <stp>96</stp>
        <tr r="C104" s="1"/>
      </tp>
      <tp>
        <v>1</v>
        <stp/>
        <stp>T&amp;T1</stp>
        <stp>QUL</stp>
        <stp>96</stp>
        <tr r="I104" s="1"/>
      </tp>
      <tp>
        <v>1</v>
        <stp/>
        <stp>T&amp;T0</stp>
        <stp>QUL</stp>
        <stp>89</stp>
        <tr r="C97" s="1"/>
      </tp>
      <tp>
        <v>1</v>
        <stp/>
        <stp>T&amp;T1</stp>
        <stp>QUL</stp>
        <stp>89</stp>
        <tr r="I97" s="1"/>
      </tp>
      <tp>
        <v>21</v>
        <stp/>
        <stp>T&amp;T0</stp>
        <stp>QUL</stp>
        <stp>88</stp>
        <tr r="C96" s="1"/>
      </tp>
      <tp>
        <v>2</v>
        <stp/>
        <stp>T&amp;T1</stp>
        <stp>QUL</stp>
        <stp>88</stp>
        <tr r="I96" s="1"/>
      </tp>
      <tp>
        <v>7346.75</v>
        <stp/>
        <stp>T&amp;T1</stp>
        <stp>PRE</stp>
        <stp>98</stp>
        <tr r="H106" s="1"/>
      </tp>
      <tp>
        <v>7346</v>
        <stp/>
        <stp>T&amp;T0</stp>
        <stp>PRE</stp>
        <stp>98</stp>
        <tr r="B106" s="1"/>
      </tp>
      <tp>
        <v>7346.75</v>
        <stp/>
        <stp>T&amp;T1</stp>
        <stp>PRE</stp>
        <stp>99</stp>
        <tr r="H107" s="1"/>
      </tp>
      <tp>
        <v>7346</v>
        <stp/>
        <stp>T&amp;T0</stp>
        <stp>PRE</stp>
        <stp>99</stp>
        <tr r="B107" s="1"/>
      </tp>
      <tp>
        <v>7347</v>
        <stp/>
        <stp>T&amp;T1</stp>
        <stp>PRE</stp>
        <stp>96</stp>
        <tr r="H104" s="1"/>
      </tp>
      <tp>
        <v>7346</v>
        <stp/>
        <stp>T&amp;T0</stp>
        <stp>PRE</stp>
        <stp>96</stp>
        <tr r="B104" s="1"/>
      </tp>
      <tp>
        <v>29</v>
        <stp/>
        <stp>T&amp;T0</stp>
        <stp>QUL</stp>
        <stp>81</stp>
        <tr r="C89" s="1"/>
      </tp>
      <tp>
        <v>1</v>
        <stp/>
        <stp>T&amp;T1</stp>
        <stp>QUL</stp>
        <stp>81</stp>
        <tr r="I89" s="1"/>
      </tp>
      <tp>
        <v>7346.75</v>
        <stp/>
        <stp>T&amp;T1</stp>
        <stp>PRE</stp>
        <stp>97</stp>
        <tr r="H105" s="1"/>
      </tp>
      <tp>
        <v>7346</v>
        <stp/>
        <stp>T&amp;T0</stp>
        <stp>PRE</stp>
        <stp>97</stp>
        <tr r="B105" s="1"/>
      </tp>
      <tp>
        <v>2</v>
        <stp/>
        <stp>T&amp;T0</stp>
        <stp>QUL</stp>
        <stp>80</stp>
        <tr r="C88" s="1"/>
      </tp>
      <tp>
        <v>1</v>
        <stp/>
        <stp>T&amp;T1</stp>
        <stp>QUL</stp>
        <stp>80</stp>
        <tr r="I88" s="1"/>
      </tp>
      <tp>
        <v>7347.5</v>
        <stp/>
        <stp>T&amp;T1</stp>
        <stp>PRE</stp>
        <stp>94</stp>
        <tr r="H102" s="1"/>
      </tp>
      <tp>
        <v>7346</v>
        <stp/>
        <stp>T&amp;T0</stp>
        <stp>PRE</stp>
        <stp>94</stp>
        <tr r="B102" s="1"/>
      </tp>
      <tp>
        <v>4</v>
        <stp/>
        <stp>T&amp;T0</stp>
        <stp>QUL</stp>
        <stp>83</stp>
        <tr r="C91" s="1"/>
      </tp>
      <tp>
        <v>1</v>
        <stp/>
        <stp>T&amp;T1</stp>
        <stp>QUL</stp>
        <stp>83</stp>
        <tr r="I91" s="1"/>
      </tp>
      <tp>
        <v>7347.25</v>
        <stp/>
        <stp>T&amp;T1</stp>
        <stp>PRE</stp>
        <stp>95</stp>
        <tr r="H103" s="1"/>
      </tp>
      <tp>
        <v>7346</v>
        <stp/>
        <stp>T&amp;T0</stp>
        <stp>PRE</stp>
        <stp>95</stp>
        <tr r="B103" s="1"/>
      </tp>
      <tp>
        <v>7</v>
        <stp/>
        <stp>T&amp;T0</stp>
        <stp>QUL</stp>
        <stp>82</stp>
        <tr r="C90" s="1"/>
      </tp>
      <tp>
        <v>1</v>
        <stp/>
        <stp>T&amp;T1</stp>
        <stp>QUL</stp>
        <stp>82</stp>
        <tr r="I90" s="1"/>
      </tp>
      <tp>
        <v>7347.5</v>
        <stp/>
        <stp>T&amp;T1</stp>
        <stp>PRE</stp>
        <stp>92</stp>
        <tr r="H100" s="1"/>
      </tp>
      <tp>
        <v>7346</v>
        <stp/>
        <stp>T&amp;T0</stp>
        <stp>PRE</stp>
        <stp>92</stp>
        <tr r="B100" s="1"/>
      </tp>
      <tp>
        <v>1</v>
        <stp/>
        <stp>T&amp;T0</stp>
        <stp>QUL</stp>
        <stp>85</stp>
        <tr r="C93" s="1"/>
      </tp>
      <tp>
        <v>1</v>
        <stp/>
        <stp>T&amp;T1</stp>
        <stp>QUL</stp>
        <stp>85</stp>
        <tr r="I93" s="1"/>
      </tp>
      <tp>
        <v>7347.5</v>
        <stp/>
        <stp>T&amp;T1</stp>
        <stp>PRE</stp>
        <stp>93</stp>
        <tr r="H101" s="1"/>
      </tp>
      <tp>
        <v>7346</v>
        <stp/>
        <stp>T&amp;T0</stp>
        <stp>PRE</stp>
        <stp>93</stp>
        <tr r="B101" s="1"/>
      </tp>
      <tp>
        <v>1</v>
        <stp/>
        <stp>T&amp;T0</stp>
        <stp>QUL</stp>
        <stp>84</stp>
        <tr r="C92" s="1"/>
      </tp>
      <tp>
        <v>1</v>
        <stp/>
        <stp>T&amp;T1</stp>
        <stp>QUL</stp>
        <stp>84</stp>
        <tr r="I92" s="1"/>
      </tp>
      <tp>
        <v>7347.25</v>
        <stp/>
        <stp>T&amp;T1</stp>
        <stp>PRE</stp>
        <stp>90</stp>
        <tr r="H98" s="1"/>
      </tp>
      <tp>
        <v>7346</v>
        <stp/>
        <stp>T&amp;T0</stp>
        <stp>PRE</stp>
        <stp>90</stp>
        <tr r="B98" s="1"/>
      </tp>
      <tp>
        <v>1</v>
        <stp/>
        <stp>T&amp;T0</stp>
        <stp>QUL</stp>
        <stp>87</stp>
        <tr r="C95" s="1"/>
      </tp>
      <tp>
        <v>1</v>
        <stp/>
        <stp>T&amp;T1</stp>
        <stp>QUL</stp>
        <stp>87</stp>
        <tr r="I95" s="1"/>
      </tp>
      <tp>
        <v>7347.5</v>
        <stp/>
        <stp>T&amp;T1</stp>
        <stp>PRE</stp>
        <stp>91</stp>
        <tr r="H99" s="1"/>
      </tp>
      <tp>
        <v>7346</v>
        <stp/>
        <stp>T&amp;T0</stp>
        <stp>PRE</stp>
        <stp>91</stp>
        <tr r="B99" s="1"/>
      </tp>
      <tp>
        <v>1</v>
        <stp/>
        <stp>T&amp;T0</stp>
        <stp>QUL</stp>
        <stp>86</stp>
        <tr r="C94" s="1"/>
      </tp>
      <tp>
        <v>1</v>
        <stp/>
        <stp>T&amp;T1</stp>
        <stp>QUL</stp>
        <stp>86</stp>
        <tr r="I94" s="1"/>
      </tp>
      <tp>
        <v>5</v>
        <stp/>
        <stp>T&amp;T0</stp>
        <stp>QUL</stp>
        <stp>39</stp>
        <tr r="C47" s="1"/>
      </tp>
      <tp>
        <v>1</v>
        <stp/>
        <stp>T&amp;T1</stp>
        <stp>QUL</stp>
        <stp>39</stp>
        <tr r="I47" s="1"/>
      </tp>
      <tp>
        <v>1</v>
        <stp/>
        <stp>T&amp;T0</stp>
        <stp>QUL</stp>
        <stp>38</stp>
        <tr r="C46" s="1"/>
      </tp>
      <tp>
        <v>1</v>
        <stp/>
        <stp>T&amp;T1</stp>
        <stp>QUL</stp>
        <stp>38</stp>
        <tr r="I46" s="1"/>
      </tp>
      <tp>
        <v>7346.25</v>
        <stp/>
        <stp>T&amp;T1</stp>
        <stp>PRE</stp>
        <stp>28</stp>
        <tr r="H36" s="1"/>
      </tp>
      <tp>
        <v>7346.25</v>
        <stp/>
        <stp>T&amp;T0</stp>
        <stp>PRE</stp>
        <stp>28</stp>
        <tr r="B36" s="1"/>
      </tp>
      <tp>
        <v>7346.25</v>
        <stp/>
        <stp>T&amp;T1</stp>
        <stp>PRE</stp>
        <stp>29</stp>
        <tr r="H37" s="1"/>
      </tp>
      <tp>
        <v>7346.25</v>
        <stp/>
        <stp>T&amp;T0</stp>
        <stp>PRE</stp>
        <stp>29</stp>
        <tr r="B37" s="1"/>
      </tp>
      <tp>
        <v>7346.25</v>
        <stp/>
        <stp>T&amp;T1</stp>
        <stp>PRE</stp>
        <stp>26</stp>
        <tr r="H34" s="1"/>
      </tp>
      <tp>
        <v>7346.25</v>
        <stp/>
        <stp>T&amp;T0</stp>
        <stp>PRE</stp>
        <stp>26</stp>
        <tr r="B34" s="1"/>
      </tp>
      <tp>
        <v>8</v>
        <stp/>
        <stp>T&amp;T0</stp>
        <stp>QUL</stp>
        <stp>31</stp>
        <tr r="C39" s="1"/>
      </tp>
      <tp>
        <v>1</v>
        <stp/>
        <stp>T&amp;T1</stp>
        <stp>QUL</stp>
        <stp>31</stp>
        <tr r="I39" s="1"/>
      </tp>
      <tp>
        <v>7346.25</v>
        <stp/>
        <stp>T&amp;T1</stp>
        <stp>PRE</stp>
        <stp>27</stp>
        <tr r="H35" s="1"/>
      </tp>
      <tp>
        <v>7346.5</v>
        <stp/>
        <stp>T&amp;T0</stp>
        <stp>PRE</stp>
        <stp>27</stp>
        <tr r="B35" s="1"/>
      </tp>
      <tp>
        <v>1</v>
        <stp/>
        <stp>T&amp;T0</stp>
        <stp>QUL</stp>
        <stp>30</stp>
        <tr r="C38" s="1"/>
      </tp>
      <tp>
        <v>1</v>
        <stp/>
        <stp>T&amp;T1</stp>
        <stp>QUL</stp>
        <stp>30</stp>
        <tr r="I38" s="1"/>
      </tp>
      <tp>
        <v>7346</v>
        <stp/>
        <stp>T&amp;T1</stp>
        <stp>PRE</stp>
        <stp>24</stp>
        <tr r="H32" s="1"/>
      </tp>
      <tp>
        <v>7346.25</v>
        <stp/>
        <stp>T&amp;T0</stp>
        <stp>PRE</stp>
        <stp>24</stp>
        <tr r="B32" s="1"/>
      </tp>
      <tp>
        <v>6</v>
        <stp/>
        <stp>T&amp;T0</stp>
        <stp>QUL</stp>
        <stp>33</stp>
        <tr r="C41" s="1"/>
      </tp>
      <tp>
        <v>1</v>
        <stp/>
        <stp>T&amp;T1</stp>
        <stp>QUL</stp>
        <stp>33</stp>
        <tr r="I41" s="1"/>
      </tp>
      <tp>
        <v>7346</v>
        <stp/>
        <stp>T&amp;T1</stp>
        <stp>PRE</stp>
        <stp>25</stp>
        <tr r="H33" s="1"/>
      </tp>
      <tp>
        <v>7346.25</v>
        <stp/>
        <stp>T&amp;T0</stp>
        <stp>PRE</stp>
        <stp>25</stp>
        <tr r="B33" s="1"/>
      </tp>
      <tp>
        <v>2</v>
        <stp/>
        <stp>T&amp;T0</stp>
        <stp>QUL</stp>
        <stp>32</stp>
        <tr r="C40" s="1"/>
      </tp>
      <tp>
        <v>1</v>
        <stp/>
        <stp>T&amp;T1</stp>
        <stp>QUL</stp>
        <stp>32</stp>
        <tr r="I40" s="1"/>
      </tp>
      <tp>
        <v>7346</v>
        <stp/>
        <stp>T&amp;T1</stp>
        <stp>PRE</stp>
        <stp>22</stp>
        <tr r="H30" s="1"/>
      </tp>
      <tp>
        <v>7346.5</v>
        <stp/>
        <stp>T&amp;T0</stp>
        <stp>PRE</stp>
        <stp>22</stp>
        <tr r="B30" s="1"/>
      </tp>
      <tp>
        <v>1</v>
        <stp/>
        <stp>T&amp;T0</stp>
        <stp>QUL</stp>
        <stp>35</stp>
        <tr r="C43" s="1"/>
      </tp>
      <tp>
        <v>4</v>
        <stp/>
        <stp>T&amp;T1</stp>
        <stp>QUL</stp>
        <stp>35</stp>
        <tr r="I43" s="1"/>
      </tp>
      <tp>
        <v>7346</v>
        <stp/>
        <stp>T&amp;T1</stp>
        <stp>PRE</stp>
        <stp>23</stp>
        <tr r="H31" s="1"/>
      </tp>
      <tp>
        <v>7346.25</v>
        <stp/>
        <stp>T&amp;T0</stp>
        <stp>PRE</stp>
        <stp>23</stp>
        <tr r="B31" s="1"/>
      </tp>
      <tp>
        <v>1</v>
        <stp/>
        <stp>T&amp;T0</stp>
        <stp>QUL</stp>
        <stp>34</stp>
        <tr r="C42" s="1"/>
      </tp>
      <tp>
        <v>1</v>
        <stp/>
        <stp>T&amp;T1</stp>
        <stp>QUL</stp>
        <stp>34</stp>
        <tr r="I42" s="1"/>
      </tp>
      <tp>
        <v>7346</v>
        <stp/>
        <stp>T&amp;T1</stp>
        <stp>PRE</stp>
        <stp>20</stp>
        <tr r="H28" s="1"/>
      </tp>
      <tp>
        <v>7346.25</v>
        <stp/>
        <stp>T&amp;T0</stp>
        <stp>PRE</stp>
        <stp>20</stp>
        <tr r="B28" s="1"/>
      </tp>
      <tp>
        <v>3</v>
        <stp/>
        <stp>T&amp;T0</stp>
        <stp>QUL</stp>
        <stp>37</stp>
        <tr r="C45" s="1"/>
      </tp>
      <tp>
        <v>1</v>
        <stp/>
        <stp>T&amp;T1</stp>
        <stp>QUL</stp>
        <stp>37</stp>
        <tr r="I45" s="1"/>
      </tp>
      <tp>
        <v>7346</v>
        <stp/>
        <stp>T&amp;T1</stp>
        <stp>PRE</stp>
        <stp>21</stp>
        <tr r="H29" s="1"/>
      </tp>
      <tp>
        <v>7346.5</v>
        <stp/>
        <stp>T&amp;T0</stp>
        <stp>PRE</stp>
        <stp>21</stp>
        <tr r="B29" s="1"/>
      </tp>
      <tp>
        <v>1</v>
        <stp/>
        <stp>T&amp;T0</stp>
        <stp>QUL</stp>
        <stp>36</stp>
        <tr r="C44" s="1"/>
      </tp>
      <tp>
        <v>1</v>
        <stp/>
        <stp>T&amp;T1</stp>
        <stp>QUL</stp>
        <stp>36</stp>
        <tr r="I44" s="1"/>
      </tp>
      <tp>
        <v>1</v>
        <stp/>
        <stp>T&amp;T0</stp>
        <stp>QUL</stp>
        <stp>29</stp>
        <tr r="C37" s="1"/>
      </tp>
      <tp>
        <v>6</v>
        <stp/>
        <stp>T&amp;T1</stp>
        <stp>QUL</stp>
        <stp>29</stp>
        <tr r="I37" s="1"/>
      </tp>
      <tp>
        <v>1</v>
        <stp/>
        <stp>T&amp;T0</stp>
        <stp>QUL</stp>
        <stp>28</stp>
        <tr r="C36" s="1"/>
      </tp>
      <tp>
        <v>1</v>
        <stp/>
        <stp>T&amp;T1</stp>
        <stp>QUL</stp>
        <stp>28</stp>
        <tr r="I36" s="1"/>
      </tp>
      <tp>
        <v>7346.25</v>
        <stp/>
        <stp>T&amp;T1</stp>
        <stp>PRE</stp>
        <stp>38</stp>
        <tr r="H46" s="1"/>
      </tp>
      <tp>
        <v>7346.75</v>
        <stp/>
        <stp>T&amp;T0</stp>
        <stp>PRE</stp>
        <stp>38</stp>
        <tr r="B46" s="1"/>
      </tp>
      <tp>
        <v>7346.25</v>
        <stp/>
        <stp>T&amp;T1</stp>
        <stp>PRE</stp>
        <stp>39</stp>
        <tr r="H47" s="1"/>
      </tp>
      <tp>
        <v>7346.75</v>
        <stp/>
        <stp>T&amp;T0</stp>
        <stp>PRE</stp>
        <stp>39</stp>
        <tr r="B47" s="1"/>
      </tp>
      <tp>
        <v>7346.25</v>
        <stp/>
        <stp>T&amp;T1</stp>
        <stp>PRE</stp>
        <stp>36</stp>
        <tr r="H44" s="1"/>
      </tp>
      <tp>
        <v>7346.5</v>
        <stp/>
        <stp>T&amp;T0</stp>
        <stp>PRE</stp>
        <stp>36</stp>
        <tr r="B44" s="1"/>
      </tp>
      <tp>
        <v>2</v>
        <stp/>
        <stp>T&amp;T0</stp>
        <stp>QUL</stp>
        <stp>21</stp>
        <tr r="C29" s="1"/>
      </tp>
      <tp>
        <v>5</v>
        <stp/>
        <stp>T&amp;T1</stp>
        <stp>QUL</stp>
        <stp>21</stp>
        <tr r="I29" s="1"/>
      </tp>
      <tp>
        <v>7346</v>
        <stp/>
        <stp>T&amp;T1</stp>
        <stp>PRE</stp>
        <stp>37</stp>
        <tr r="H45" s="1"/>
      </tp>
      <tp>
        <v>7346.75</v>
        <stp/>
        <stp>T&amp;T0</stp>
        <stp>PRE</stp>
        <stp>37</stp>
        <tr r="B45" s="1"/>
      </tp>
      <tp>
        <v>3</v>
        <stp/>
        <stp>T&amp;T0</stp>
        <stp>QUL</stp>
        <stp>20</stp>
        <tr r="C28" s="1"/>
      </tp>
      <tp>
        <v>1</v>
        <stp/>
        <stp>T&amp;T1</stp>
        <stp>QUL</stp>
        <stp>20</stp>
        <tr r="I28" s="1"/>
      </tp>
      <tp>
        <v>7346</v>
        <stp/>
        <stp>T&amp;T1</stp>
        <stp>PRE</stp>
        <stp>34</stp>
        <tr r="H42" s="1"/>
      </tp>
      <tp>
        <v>7346.25</v>
        <stp/>
        <stp>T&amp;T0</stp>
        <stp>PRE</stp>
        <stp>34</stp>
        <tr r="B42" s="1"/>
      </tp>
      <tp>
        <v>1</v>
        <stp/>
        <stp>T&amp;T0</stp>
        <stp>QUL</stp>
        <stp>23</stp>
        <tr r="C31" s="1"/>
      </tp>
      <tp>
        <v>1</v>
        <stp/>
        <stp>T&amp;T1</stp>
        <stp>QUL</stp>
        <stp>23</stp>
        <tr r="I31" s="1"/>
      </tp>
      <tp>
        <v>7346.25</v>
        <stp/>
        <stp>T&amp;T1</stp>
        <stp>PRE</stp>
        <stp>35</stp>
        <tr r="H43" s="1"/>
      </tp>
      <tp>
        <v>7346.5</v>
        <stp/>
        <stp>T&amp;T0</stp>
        <stp>PRE</stp>
        <stp>35</stp>
        <tr r="B43" s="1"/>
      </tp>
      <tp>
        <v>1</v>
        <stp/>
        <stp>T&amp;T0</stp>
        <stp>QUL</stp>
        <stp>22</stp>
        <tr r="C30" s="1"/>
      </tp>
      <tp>
        <v>2</v>
        <stp/>
        <stp>T&amp;T1</stp>
        <stp>QUL</stp>
        <stp>22</stp>
        <tr r="I30" s="1"/>
      </tp>
      <tp>
        <v>7346.25</v>
        <stp/>
        <stp>T&amp;T1</stp>
        <stp>PRE</stp>
        <stp>32</stp>
        <tr r="H40" s="1"/>
      </tp>
      <tp>
        <v>7346</v>
        <stp/>
        <stp>T&amp;T0</stp>
        <stp>PRE</stp>
        <stp>32</stp>
        <tr r="B40" s="1"/>
      </tp>
      <tp>
        <v>5</v>
        <stp/>
        <stp>T&amp;T0</stp>
        <stp>QUL</stp>
        <stp>25</stp>
        <tr r="C33" s="1"/>
      </tp>
      <tp>
        <v>4</v>
        <stp/>
        <stp>T&amp;T1</stp>
        <stp>QUL</stp>
        <stp>25</stp>
        <tr r="I33" s="1"/>
      </tp>
      <tp>
        <v>7346</v>
        <stp/>
        <stp>T&amp;T1</stp>
        <stp>PRE</stp>
        <stp>33</stp>
        <tr r="H41" s="1"/>
      </tp>
      <tp>
        <v>7346</v>
        <stp/>
        <stp>T&amp;T0</stp>
        <stp>PRE</stp>
        <stp>33</stp>
        <tr r="B41" s="1"/>
      </tp>
      <tp>
        <v>1</v>
        <stp/>
        <stp>T&amp;T0</stp>
        <stp>QUL</stp>
        <stp>24</stp>
        <tr r="C32" s="1"/>
      </tp>
      <tp>
        <v>3</v>
        <stp/>
        <stp>T&amp;T1</stp>
        <stp>QUL</stp>
        <stp>24</stp>
        <tr r="I32" s="1"/>
      </tp>
      <tp>
        <v>7346.25</v>
        <stp/>
        <stp>T&amp;T1</stp>
        <stp>PRE</stp>
        <stp>30</stp>
        <tr r="H38" s="1"/>
      </tp>
      <tp>
        <v>7346.25</v>
        <stp/>
        <stp>T&amp;T0</stp>
        <stp>PRE</stp>
        <stp>30</stp>
        <tr r="B38" s="1"/>
      </tp>
      <tp>
        <v>5</v>
        <stp/>
        <stp>T&amp;T0</stp>
        <stp>QUL</stp>
        <stp>27</stp>
        <tr r="C35" s="1"/>
      </tp>
      <tp>
        <v>1</v>
        <stp/>
        <stp>T&amp;T1</stp>
        <stp>QUL</stp>
        <stp>27</stp>
        <tr r="I35" s="1"/>
      </tp>
      <tp>
        <v>7346.25</v>
        <stp/>
        <stp>T&amp;T1</stp>
        <stp>PRE</stp>
        <stp>31</stp>
        <tr r="H39" s="1"/>
      </tp>
      <tp>
        <v>7346.25</v>
        <stp/>
        <stp>T&amp;T0</stp>
        <stp>PRE</stp>
        <stp>31</stp>
        <tr r="B39" s="1"/>
      </tp>
      <tp>
        <v>1</v>
        <stp/>
        <stp>T&amp;T0</stp>
        <stp>QUL</stp>
        <stp>26</stp>
        <tr r="C34" s="1"/>
      </tp>
      <tp>
        <v>1</v>
        <stp/>
        <stp>T&amp;T1</stp>
        <stp>QUL</stp>
        <stp>26</stp>
        <tr r="I34" s="1"/>
      </tp>
      <tp>
        <v>2</v>
        <stp/>
        <stp>T&amp;T0</stp>
        <stp>QUL</stp>
        <stp>19</stp>
        <tr r="C27" s="1"/>
      </tp>
      <tp>
        <v>1</v>
        <stp/>
        <stp>T&amp;T1</stp>
        <stp>QUL</stp>
        <stp>19</stp>
        <tr r="I27" s="1"/>
      </tp>
      <tp>
        <v>2</v>
        <stp/>
        <stp>T&amp;T0</stp>
        <stp>QUL</stp>
        <stp>18</stp>
        <tr r="C26" s="1"/>
      </tp>
      <tp>
        <v>1</v>
        <stp/>
        <stp>T&amp;T1</stp>
        <stp>QUL</stp>
        <stp>18</stp>
        <tr r="I26" s="1"/>
      </tp>
      <tp>
        <v>1</v>
        <stp/>
        <stp>T&amp;T0</stp>
        <stp>QUL</stp>
        <stp>11</stp>
        <tr r="C19" s="1"/>
      </tp>
      <tp>
        <v>13</v>
        <stp/>
        <stp>T&amp;T1</stp>
        <stp>QUL</stp>
        <stp>11</stp>
        <tr r="I19" s="1"/>
      </tp>
      <tp>
        <v>10</v>
        <stp/>
        <stp>T&amp;T0</stp>
        <stp>QUL</stp>
        <stp>10</stp>
        <tr r="C18" s="1"/>
      </tp>
      <tp>
        <v>3</v>
        <stp/>
        <stp>T&amp;T1</stp>
        <stp>QUL</stp>
        <stp>10</stp>
        <tr r="I18" s="1"/>
      </tp>
      <tp>
        <v>3</v>
        <stp/>
        <stp>T&amp;T0</stp>
        <stp>QUL</stp>
        <stp>13</stp>
        <tr r="C21" s="1"/>
      </tp>
      <tp>
        <v>1</v>
        <stp/>
        <stp>T&amp;T1</stp>
        <stp>QUL</stp>
        <stp>13</stp>
        <tr r="I21" s="1"/>
      </tp>
      <tp>
        <v>3</v>
        <stp/>
        <stp>T&amp;T0</stp>
        <stp>QUL</stp>
        <stp>12</stp>
        <tr r="C20" s="1"/>
      </tp>
      <tp>
        <v>1</v>
        <stp/>
        <stp>T&amp;T1</stp>
        <stp>QUL</stp>
        <stp>12</stp>
        <tr r="I20" s="1"/>
      </tp>
      <tp>
        <v>1</v>
        <stp/>
        <stp>T&amp;T0</stp>
        <stp>QUL</stp>
        <stp>15</stp>
        <tr r="C23" s="1"/>
      </tp>
      <tp>
        <v>1</v>
        <stp/>
        <stp>T&amp;T1</stp>
        <stp>QUL</stp>
        <stp>15</stp>
        <tr r="I23" s="1"/>
      </tp>
      <tp>
        <v>1</v>
        <stp/>
        <stp>T&amp;T0</stp>
        <stp>QUL</stp>
        <stp>14</stp>
        <tr r="C22" s="1"/>
      </tp>
      <tp>
        <v>1</v>
        <stp/>
        <stp>T&amp;T1</stp>
        <stp>QUL</stp>
        <stp>14</stp>
        <tr r="I22" s="1"/>
      </tp>
      <tp>
        <v>1</v>
        <stp/>
        <stp>T&amp;T0</stp>
        <stp>QUL</stp>
        <stp>17</stp>
        <tr r="C25" s="1"/>
      </tp>
      <tp>
        <v>1</v>
        <stp/>
        <stp>T&amp;T1</stp>
        <stp>QUL</stp>
        <stp>17</stp>
        <tr r="I25" s="1"/>
      </tp>
      <tp>
        <v>2</v>
        <stp/>
        <stp>T&amp;T0</stp>
        <stp>QUL</stp>
        <stp>16</stp>
        <tr r="C24" s="1"/>
      </tp>
      <tp>
        <v>1</v>
        <stp/>
        <stp>T&amp;T1</stp>
        <stp>QUL</stp>
        <stp>16</stp>
        <tr r="I24" s="1"/>
      </tp>
      <tp>
        <v>7345.75</v>
        <stp/>
        <stp>T&amp;T1</stp>
        <stp>PRE</stp>
        <stp>18</stp>
        <tr r="H26" s="1"/>
      </tp>
      <tp>
        <v>7346.25</v>
        <stp/>
        <stp>T&amp;T0</stp>
        <stp>PRE</stp>
        <stp>18</stp>
        <tr r="B26" s="1"/>
      </tp>
      <tp>
        <v>7346</v>
        <stp/>
        <stp>T&amp;T1</stp>
        <stp>PRE</stp>
        <stp>19</stp>
        <tr r="H27" s="1"/>
      </tp>
      <tp>
        <v>7346.25</v>
        <stp/>
        <stp>T&amp;T0</stp>
        <stp>PRE</stp>
        <stp>19</stp>
        <tr r="B27" s="1"/>
      </tp>
      <tp>
        <v>7346</v>
        <stp/>
        <stp>T&amp;T1</stp>
        <stp>PRE</stp>
        <stp>16</stp>
        <tr r="H24" s="1"/>
      </tp>
      <tp>
        <v>7346.25</v>
        <stp/>
        <stp>T&amp;T0</stp>
        <stp>PRE</stp>
        <stp>16</stp>
        <tr r="B24" s="1"/>
      </tp>
      <tp>
        <v>7346</v>
        <stp/>
        <stp>T&amp;T1</stp>
        <stp>PRE</stp>
        <stp>17</stp>
        <tr r="H25" s="1"/>
      </tp>
      <tp>
        <v>7346.5</v>
        <stp/>
        <stp>T&amp;T0</stp>
        <stp>PRE</stp>
        <stp>17</stp>
        <tr r="B25" s="1"/>
      </tp>
      <tp>
        <v>7346</v>
        <stp/>
        <stp>T&amp;T1</stp>
        <stp>PRE</stp>
        <stp>14</stp>
        <tr r="H22" s="1"/>
      </tp>
      <tp>
        <v>7346</v>
        <stp/>
        <stp>T&amp;T0</stp>
        <stp>PRE</stp>
        <stp>14</stp>
        <tr r="B22" s="1"/>
      </tp>
      <tp>
        <v>7346</v>
        <stp/>
        <stp>T&amp;T1</stp>
        <stp>PRE</stp>
        <stp>15</stp>
        <tr r="H23" s="1"/>
      </tp>
      <tp>
        <v>7346</v>
        <stp/>
        <stp>T&amp;T0</stp>
        <stp>PRE</stp>
        <stp>15</stp>
        <tr r="B23" s="1"/>
      </tp>
      <tp>
        <v>7346.25</v>
        <stp/>
        <stp>T&amp;T1</stp>
        <stp>PRE</stp>
        <stp>12</stp>
        <tr r="H20" s="1"/>
      </tp>
      <tp>
        <v>7346</v>
        <stp/>
        <stp>T&amp;T0</stp>
        <stp>PRE</stp>
        <stp>12</stp>
        <tr r="B20" s="1"/>
      </tp>
      <tp>
        <v>7346.25</v>
        <stp/>
        <stp>T&amp;T1</stp>
        <stp>PRE</stp>
        <stp>13</stp>
        <tr r="H21" s="1"/>
      </tp>
      <tp>
        <v>7346</v>
        <stp/>
        <stp>T&amp;T0</stp>
        <stp>PRE</stp>
        <stp>13</stp>
        <tr r="B21" s="1"/>
      </tp>
      <tp>
        <v>7346</v>
        <stp/>
        <stp>T&amp;T1</stp>
        <stp>PRE</stp>
        <stp>10</stp>
        <tr r="H18" s="1"/>
      </tp>
      <tp>
        <v>7346</v>
        <stp/>
        <stp>T&amp;T0</stp>
        <stp>PRE</stp>
        <stp>10</stp>
        <tr r="B18" s="1"/>
      </tp>
      <tp>
        <v>7346.25</v>
        <stp/>
        <stp>T&amp;T1</stp>
        <stp>PRE</stp>
        <stp>11</stp>
        <tr r="H19" s="1"/>
      </tp>
      <tp>
        <v>7346.25</v>
        <stp/>
        <stp>T&amp;T0</stp>
        <stp>PRE</stp>
        <stp>11</stp>
        <tr r="B19" s="1"/>
      </tp>
      <tp>
        <v>6</v>
        <stp/>
        <stp>T&amp;T0</stp>
        <stp>QUL</stp>
        <stp>79</stp>
        <tr r="C87" s="1"/>
      </tp>
      <tp>
        <v>1</v>
        <stp/>
        <stp>T&amp;T1</stp>
        <stp>QUL</stp>
        <stp>79</stp>
        <tr r="I87" s="1"/>
      </tp>
      <tp>
        <v>4</v>
        <stp/>
        <stp>T&amp;T0</stp>
        <stp>QUL</stp>
        <stp>78</stp>
        <tr r="C86" s="1"/>
      </tp>
      <tp>
        <v>1</v>
        <stp/>
        <stp>T&amp;T1</stp>
        <stp>QUL</stp>
        <stp>78</stp>
        <tr r="I86" s="1"/>
      </tp>
      <tp>
        <v>7346.5</v>
        <stp/>
        <stp>T&amp;T1</stp>
        <stp>PRE</stp>
        <stp>68</stp>
        <tr r="H76" s="1"/>
      </tp>
      <tp>
        <v>7347.5</v>
        <stp/>
        <stp>T&amp;T0</stp>
        <stp>PRE</stp>
        <stp>68</stp>
        <tr r="B76" s="1"/>
      </tp>
      <tp>
        <v>7346.75</v>
        <stp/>
        <stp>T&amp;T1</stp>
        <stp>PRE</stp>
        <stp>69</stp>
        <tr r="H77" s="1"/>
      </tp>
      <tp>
        <v>7347.75</v>
        <stp/>
        <stp>T&amp;T0</stp>
        <stp>PRE</stp>
        <stp>69</stp>
        <tr r="B77" s="1"/>
      </tp>
      <tp>
        <v>7346.5</v>
        <stp/>
        <stp>T&amp;T1</stp>
        <stp>PRE</stp>
        <stp>66</stp>
        <tr r="H74" s="1"/>
      </tp>
      <tp>
        <v>7347.5</v>
        <stp/>
        <stp>T&amp;T0</stp>
        <stp>PRE</stp>
        <stp>66</stp>
        <tr r="B74" s="1"/>
      </tp>
      <tp>
        <v>1</v>
        <stp/>
        <stp>T&amp;T0</stp>
        <stp>QUL</stp>
        <stp>71</stp>
        <tr r="C79" s="1"/>
      </tp>
      <tp>
        <v>1</v>
        <stp/>
        <stp>T&amp;T1</stp>
        <stp>QUL</stp>
        <stp>71</stp>
        <tr r="I79" s="1"/>
      </tp>
      <tp>
        <v>7346.5</v>
        <stp/>
        <stp>T&amp;T1</stp>
        <stp>PRE</stp>
        <stp>67</stp>
        <tr r="H75" s="1"/>
      </tp>
      <tp>
        <v>7347.5</v>
        <stp/>
        <stp>T&amp;T0</stp>
        <stp>PRE</stp>
        <stp>67</stp>
        <tr r="B75" s="1"/>
      </tp>
      <tp>
        <v>1</v>
        <stp/>
        <stp>T&amp;T0</stp>
        <stp>QUL</stp>
        <stp>70</stp>
        <tr r="C78" s="1"/>
      </tp>
      <tp>
        <v>5</v>
        <stp/>
        <stp>T&amp;T1</stp>
        <stp>QUL</stp>
        <stp>70</stp>
        <tr r="I78" s="1"/>
      </tp>
      <tp>
        <v>7346.25</v>
        <stp/>
        <stp>T&amp;T1</stp>
        <stp>PRE</stp>
        <stp>64</stp>
        <tr r="H72" s="1"/>
      </tp>
      <tp>
        <v>7347.5</v>
        <stp/>
        <stp>T&amp;T0</stp>
        <stp>PRE</stp>
        <stp>64</stp>
        <tr r="B72" s="1"/>
      </tp>
      <tp>
        <v>1</v>
        <stp/>
        <stp>T&amp;T0</stp>
        <stp>QUL</stp>
        <stp>73</stp>
        <tr r="C81" s="1"/>
      </tp>
      <tp>
        <v>1</v>
        <stp/>
        <stp>T&amp;T1</stp>
        <stp>QUL</stp>
        <stp>73</stp>
        <tr r="I81" s="1"/>
      </tp>
      <tp>
        <v>7346.5</v>
        <stp/>
        <stp>T&amp;T1</stp>
        <stp>PRE</stp>
        <stp>65</stp>
        <tr r="H73" s="1"/>
      </tp>
      <tp>
        <v>7347.75</v>
        <stp/>
        <stp>T&amp;T0</stp>
        <stp>PRE</stp>
        <stp>65</stp>
        <tr r="B73" s="1"/>
      </tp>
      <tp>
        <v>1</v>
        <stp/>
        <stp>T&amp;T0</stp>
        <stp>QUL</stp>
        <stp>72</stp>
        <tr r="C80" s="1"/>
      </tp>
      <tp>
        <v>1</v>
        <stp/>
        <stp>T&amp;T1</stp>
        <stp>QUL</stp>
        <stp>72</stp>
        <tr r="I80" s="1"/>
      </tp>
      <tp>
        <v>7346.5</v>
        <stp/>
        <stp>T&amp;T1</stp>
        <stp>PRE</stp>
        <stp>62</stp>
        <tr r="H70" s="1"/>
      </tp>
      <tp>
        <v>7346.75</v>
        <stp/>
        <stp>T&amp;T0</stp>
        <stp>PRE</stp>
        <stp>62</stp>
        <tr r="B70" s="1"/>
      </tp>
      <tp>
        <v>11</v>
        <stp/>
        <stp>T&amp;T0</stp>
        <stp>QUL</stp>
        <stp>75</stp>
        <tr r="C83" s="1"/>
      </tp>
      <tp>
        <v>1</v>
        <stp/>
        <stp>T&amp;T1</stp>
        <stp>QUL</stp>
        <stp>75</stp>
        <tr r="I83" s="1"/>
      </tp>
      <tp>
        <v>7346.5</v>
        <stp/>
        <stp>T&amp;T1</stp>
        <stp>PRE</stp>
        <stp>63</stp>
        <tr r="H71" s="1"/>
      </tp>
      <tp>
        <v>7347</v>
        <stp/>
        <stp>T&amp;T0</stp>
        <stp>PRE</stp>
        <stp>63</stp>
        <tr r="B71" s="1"/>
      </tp>
      <tp>
        <v>7</v>
        <stp/>
        <stp>T&amp;T0</stp>
        <stp>QUL</stp>
        <stp>74</stp>
        <tr r="C82" s="1"/>
      </tp>
      <tp>
        <v>1</v>
        <stp/>
        <stp>T&amp;T1</stp>
        <stp>QUL</stp>
        <stp>74</stp>
        <tr r="I82" s="1"/>
      </tp>
      <tp>
        <v>7346.5</v>
        <stp/>
        <stp>T&amp;T1</stp>
        <stp>PRE</stp>
        <stp>60</stp>
        <tr r="H68" s="1"/>
      </tp>
      <tp>
        <v>7346.75</v>
        <stp/>
        <stp>T&amp;T0</stp>
        <stp>PRE</stp>
        <stp>60</stp>
        <tr r="B68" s="1"/>
      </tp>
      <tp>
        <v>4</v>
        <stp/>
        <stp>T&amp;T0</stp>
        <stp>QUL</stp>
        <stp>77</stp>
        <tr r="C85" s="1"/>
      </tp>
      <tp>
        <v>7</v>
        <stp/>
        <stp>T&amp;T1</stp>
        <stp>QUL</stp>
        <stp>77</stp>
        <tr r="I85" s="1"/>
      </tp>
      <tp>
        <v>7346.5</v>
        <stp/>
        <stp>T&amp;T1</stp>
        <stp>PRE</stp>
        <stp>61</stp>
        <tr r="H69" s="1"/>
      </tp>
      <tp>
        <v>7346.75</v>
        <stp/>
        <stp>T&amp;T0</stp>
        <stp>PRE</stp>
        <stp>61</stp>
        <tr r="B69" s="1"/>
      </tp>
      <tp>
        <v>10</v>
        <stp/>
        <stp>T&amp;T0</stp>
        <stp>QUL</stp>
        <stp>76</stp>
        <tr r="C84" s="1"/>
      </tp>
      <tp>
        <v>6</v>
        <stp/>
        <stp>T&amp;T1</stp>
        <stp>QUL</stp>
        <stp>76</stp>
        <tr r="I84" s="1"/>
      </tp>
      <tp>
        <v>1</v>
        <stp/>
        <stp>T&amp;T0</stp>
        <stp>QUL</stp>
        <stp>69</stp>
        <tr r="C77" s="1"/>
      </tp>
      <tp>
        <v>4</v>
        <stp/>
        <stp>T&amp;T1</stp>
        <stp>QUL</stp>
        <stp>69</stp>
        <tr r="I77" s="1"/>
      </tp>
      <tp>
        <v>1</v>
        <stp/>
        <stp>T&amp;T0</stp>
        <stp>QUL</stp>
        <stp>68</stp>
        <tr r="C76" s="1"/>
      </tp>
      <tp>
        <v>1</v>
        <stp/>
        <stp>T&amp;T1</stp>
        <stp>QUL</stp>
        <stp>68</stp>
        <tr r="I76" s="1"/>
      </tp>
      <tp>
        <v>7347.5</v>
        <stp/>
        <stp>T&amp;T1</stp>
        <stp>PRE</stp>
        <stp>78</stp>
        <tr r="H86" s="1"/>
      </tp>
      <tp>
        <v>7347.25</v>
        <stp/>
        <stp>T&amp;T0</stp>
        <stp>PRE</stp>
        <stp>78</stp>
        <tr r="B86" s="1"/>
      </tp>
      <tp>
        <v>7347.5</v>
        <stp/>
        <stp>T&amp;T1</stp>
        <stp>PRE</stp>
        <stp>79</stp>
        <tr r="H87" s="1"/>
      </tp>
      <tp>
        <v>7347</v>
        <stp/>
        <stp>T&amp;T0</stp>
        <stp>PRE</stp>
        <stp>79</stp>
        <tr r="B87" s="1"/>
      </tp>
      <tp>
        <v>7347</v>
        <stp/>
        <stp>T&amp;T1</stp>
        <stp>PRE</stp>
        <stp>76</stp>
        <tr r="H84" s="1"/>
      </tp>
      <tp>
        <v>7347.5</v>
        <stp/>
        <stp>T&amp;T0</stp>
        <stp>PRE</stp>
        <stp>76</stp>
        <tr r="B84" s="1"/>
      </tp>
      <tp>
        <v>1</v>
        <stp/>
        <stp>T&amp;T0</stp>
        <stp>QUL</stp>
        <stp>61</stp>
        <tr r="C69" s="1"/>
      </tp>
      <tp>
        <v>1</v>
        <stp/>
        <stp>T&amp;T1</stp>
        <stp>QUL</stp>
        <stp>61</stp>
        <tr r="I69" s="1"/>
      </tp>
      <tp>
        <v>7347.25</v>
        <stp/>
        <stp>T&amp;T1</stp>
        <stp>PRE</stp>
        <stp>77</stp>
        <tr r="H85" s="1"/>
      </tp>
      <tp>
        <v>7347.25</v>
        <stp/>
        <stp>T&amp;T0</stp>
        <stp>PRE</stp>
        <stp>77</stp>
        <tr r="B85" s="1"/>
      </tp>
      <tp>
        <v>1</v>
        <stp/>
        <stp>T&amp;T0</stp>
        <stp>QUL</stp>
        <stp>60</stp>
        <tr r="C68" s="1"/>
      </tp>
      <tp>
        <v>1</v>
        <stp/>
        <stp>T&amp;T1</stp>
        <stp>QUL</stp>
        <stp>60</stp>
        <tr r="I68" s="1"/>
      </tp>
      <tp>
        <v>7346.75</v>
        <stp/>
        <stp>T&amp;T1</stp>
        <stp>PRE</stp>
        <stp>74</stp>
        <tr r="H82" s="1"/>
      </tp>
      <tp>
        <v>7347.25</v>
        <stp/>
        <stp>T&amp;T0</stp>
        <stp>PRE</stp>
        <stp>74</stp>
        <tr r="B82" s="1"/>
      </tp>
      <tp>
        <v>1</v>
        <stp/>
        <stp>T&amp;T0</stp>
        <stp>QUL</stp>
        <stp>63</stp>
        <tr r="C71" s="1"/>
      </tp>
      <tp>
        <v>1</v>
        <stp/>
        <stp>T&amp;T1</stp>
        <stp>QUL</stp>
        <stp>63</stp>
        <tr r="I71" s="1"/>
      </tp>
      <tp>
        <v>7347</v>
        <stp/>
        <stp>T&amp;T1</stp>
        <stp>PRE</stp>
        <stp>75</stp>
        <tr r="H83" s="1"/>
      </tp>
      <tp>
        <v>7347.75</v>
        <stp/>
        <stp>T&amp;T0</stp>
        <stp>PRE</stp>
        <stp>75</stp>
        <tr r="B83" s="1"/>
      </tp>
      <tp>
        <v>2</v>
        <stp/>
        <stp>T&amp;T0</stp>
        <stp>QUL</stp>
        <stp>62</stp>
        <tr r="C70" s="1"/>
      </tp>
      <tp>
        <v>1</v>
        <stp/>
        <stp>T&amp;T1</stp>
        <stp>QUL</stp>
        <stp>62</stp>
        <tr r="I70" s="1"/>
      </tp>
      <tp>
        <v>7347</v>
        <stp/>
        <stp>T&amp;T1</stp>
        <stp>PRE</stp>
        <stp>72</stp>
        <tr r="H80" s="1"/>
      </tp>
      <tp>
        <v>7347.75</v>
        <stp/>
        <stp>T&amp;T0</stp>
        <stp>PRE</stp>
        <stp>72</stp>
        <tr r="B80" s="1"/>
      </tp>
      <tp>
        <v>1</v>
        <stp/>
        <stp>T&amp;T0</stp>
        <stp>QUL</stp>
        <stp>65</stp>
        <tr r="C73" s="1"/>
      </tp>
      <tp>
        <v>1</v>
        <stp/>
        <stp>T&amp;T1</stp>
        <stp>QUL</stp>
        <stp>65</stp>
        <tr r="I73" s="1"/>
      </tp>
      <tp>
        <v>7347</v>
        <stp/>
        <stp>T&amp;T1</stp>
        <stp>PRE</stp>
        <stp>73</stp>
        <tr r="H81" s="1"/>
      </tp>
      <tp>
        <v>7347.75</v>
        <stp/>
        <stp>T&amp;T0</stp>
        <stp>PRE</stp>
        <stp>73</stp>
        <tr r="B81" s="1"/>
      </tp>
      <tp>
        <v>1</v>
        <stp/>
        <stp>T&amp;T0</stp>
        <stp>QUL</stp>
        <stp>64</stp>
        <tr r="C72" s="1"/>
      </tp>
      <tp>
        <v>1</v>
        <stp/>
        <stp>T&amp;T1</stp>
        <stp>QUL</stp>
        <stp>64</stp>
        <tr r="I72" s="1"/>
      </tp>
      <tp>
        <v>7346.75</v>
        <stp/>
        <stp>T&amp;T1</stp>
        <stp>PRE</stp>
        <stp>70</stp>
        <tr r="H78" s="1"/>
      </tp>
      <tp>
        <v>7347.75</v>
        <stp/>
        <stp>T&amp;T0</stp>
        <stp>PRE</stp>
        <stp>70</stp>
        <tr r="B78" s="1"/>
      </tp>
      <tp>
        <v>5</v>
        <stp/>
        <stp>T&amp;T0</stp>
        <stp>QUL</stp>
        <stp>67</stp>
        <tr r="C75" s="1"/>
      </tp>
      <tp>
        <v>1</v>
        <stp/>
        <stp>T&amp;T1</stp>
        <stp>QUL</stp>
        <stp>67</stp>
        <tr r="I75" s="1"/>
      </tp>
      <tp>
        <v>7346.75</v>
        <stp/>
        <stp>T&amp;T1</stp>
        <stp>PRE</stp>
        <stp>71</stp>
        <tr r="H79" s="1"/>
      </tp>
      <tp>
        <v>7347.75</v>
        <stp/>
        <stp>T&amp;T0</stp>
        <stp>PRE</stp>
        <stp>71</stp>
        <tr r="B79" s="1"/>
      </tp>
      <tp>
        <v>1</v>
        <stp/>
        <stp>T&amp;T0</stp>
        <stp>QUL</stp>
        <stp>66</stp>
        <tr r="C74" s="1"/>
      </tp>
      <tp>
        <v>1</v>
        <stp/>
        <stp>T&amp;T1</stp>
        <stp>QUL</stp>
        <stp>66</stp>
        <tr r="I74" s="1"/>
      </tp>
      <tp>
        <v>1</v>
        <stp/>
        <stp>T&amp;T0</stp>
        <stp>QUL</stp>
        <stp>59</stp>
        <tr r="C67" s="1"/>
      </tp>
      <tp>
        <v>1</v>
        <stp/>
        <stp>T&amp;T1</stp>
        <stp>QUL</stp>
        <stp>59</stp>
        <tr r="I67" s="1"/>
      </tp>
      <tp>
        <v>1</v>
        <stp/>
        <stp>T&amp;T0</stp>
        <stp>QUL</stp>
        <stp>58</stp>
        <tr r="C66" s="1"/>
      </tp>
      <tp>
        <v>1</v>
        <stp/>
        <stp>T&amp;T1</stp>
        <stp>QUL</stp>
        <stp>58</stp>
        <tr r="I66" s="1"/>
      </tp>
      <tp>
        <v>7346.25</v>
        <stp/>
        <stp>T&amp;T1</stp>
        <stp>PRE</stp>
        <stp>48</stp>
        <tr r="H56" s="1"/>
      </tp>
      <tp>
        <v>7347.5</v>
        <stp/>
        <stp>T&amp;T0</stp>
        <stp>PRE</stp>
        <stp>48</stp>
        <tr r="B56" s="1"/>
      </tp>
      <tp>
        <v>7346.25</v>
        <stp/>
        <stp>T&amp;T1</stp>
        <stp>PRE</stp>
        <stp>49</stp>
        <tr r="H57" s="1"/>
      </tp>
      <tp>
        <v>7347.5</v>
        <stp/>
        <stp>T&amp;T0</stp>
        <stp>PRE</stp>
        <stp>49</stp>
        <tr r="B57" s="1"/>
      </tp>
      <tp>
        <v>7346</v>
        <stp/>
        <stp>T&amp;T1</stp>
        <stp>PRE</stp>
        <stp>46</stp>
        <tr r="H54" s="1"/>
      </tp>
      <tp>
        <v>7347.25</v>
        <stp/>
        <stp>T&amp;T0</stp>
        <stp>PRE</stp>
        <stp>46</stp>
        <tr r="B54" s="1"/>
      </tp>
      <tp>
        <v>3</v>
        <stp/>
        <stp>T&amp;T0</stp>
        <stp>QUL</stp>
        <stp>51</stp>
        <tr r="C59" s="1"/>
      </tp>
      <tp>
        <v>2</v>
        <stp/>
        <stp>T&amp;T1</stp>
        <stp>QUL</stp>
        <stp>51</stp>
        <tr r="I59" s="1"/>
      </tp>
      <tp>
        <v>7346</v>
        <stp/>
        <stp>T&amp;T1</stp>
        <stp>PRE</stp>
        <stp>47</stp>
        <tr r="H55" s="1"/>
      </tp>
      <tp>
        <v>7347.75</v>
        <stp/>
        <stp>T&amp;T0</stp>
        <stp>PRE</stp>
        <stp>47</stp>
        <tr r="B55" s="1"/>
      </tp>
      <tp>
        <v>6</v>
        <stp/>
        <stp>T&amp;T0</stp>
        <stp>QUL</stp>
        <stp>50</stp>
        <tr r="C58" s="1"/>
      </tp>
      <tp>
        <v>2</v>
        <stp/>
        <stp>T&amp;T1</stp>
        <stp>QUL</stp>
        <stp>50</stp>
        <tr r="I58" s="1"/>
      </tp>
      <tp>
        <v>7345.75</v>
        <stp/>
        <stp>T&amp;T1</stp>
        <stp>PRE</stp>
        <stp>44</stp>
        <tr r="H52" s="1"/>
      </tp>
      <tp>
        <v>7347</v>
        <stp/>
        <stp>T&amp;T0</stp>
        <stp>PRE</stp>
        <stp>44</stp>
        <tr r="B52" s="1"/>
      </tp>
      <tp>
        <v>4</v>
        <stp/>
        <stp>T&amp;T0</stp>
        <stp>QUL</stp>
        <stp>53</stp>
        <tr r="C61" s="1"/>
      </tp>
      <tp>
        <v>3</v>
        <stp/>
        <stp>T&amp;T1</stp>
        <stp>QUL</stp>
        <stp>53</stp>
        <tr r="I61" s="1"/>
      </tp>
      <tp>
        <v>7345.75</v>
        <stp/>
        <stp>T&amp;T1</stp>
        <stp>PRE</stp>
        <stp>45</stp>
        <tr r="H53" s="1"/>
      </tp>
      <tp>
        <v>7347.25</v>
        <stp/>
        <stp>T&amp;T0</stp>
        <stp>PRE</stp>
        <stp>45</stp>
        <tr r="B53" s="1"/>
      </tp>
      <tp>
        <v>1</v>
        <stp/>
        <stp>T&amp;T0</stp>
        <stp>QUL</stp>
        <stp>52</stp>
        <tr r="C60" s="1"/>
      </tp>
      <tp>
        <v>1</v>
        <stp/>
        <stp>T&amp;T1</stp>
        <stp>QUL</stp>
        <stp>52</stp>
        <tr r="I60" s="1"/>
      </tp>
      <tp>
        <v>7346.25</v>
        <stp/>
        <stp>T&amp;T1</stp>
        <stp>PRE</stp>
        <stp>42</stp>
        <tr r="H50" s="1"/>
      </tp>
      <tp>
        <v>7346.75</v>
        <stp/>
        <stp>T&amp;T0</stp>
        <stp>PRE</stp>
        <stp>42</stp>
        <tr r="B50" s="1"/>
      </tp>
      <tp>
        <v>3</v>
        <stp/>
        <stp>T&amp;T0</stp>
        <stp>QUL</stp>
        <stp>55</stp>
        <tr r="C63" s="1"/>
      </tp>
      <tp>
        <v>1</v>
        <stp/>
        <stp>T&amp;T1</stp>
        <stp>QUL</stp>
        <stp>55</stp>
        <tr r="I63" s="1"/>
      </tp>
      <tp>
        <v>7345.75</v>
        <stp/>
        <stp>T&amp;T1</stp>
        <stp>PRE</stp>
        <stp>43</stp>
        <tr r="H51" s="1"/>
      </tp>
      <tp>
        <v>7347</v>
        <stp/>
        <stp>T&amp;T0</stp>
        <stp>PRE</stp>
        <stp>43</stp>
        <tr r="B51" s="1"/>
      </tp>
      <tp>
        <v>2</v>
        <stp/>
        <stp>T&amp;T0</stp>
        <stp>QUL</stp>
        <stp>54</stp>
        <tr r="C62" s="1"/>
      </tp>
      <tp>
        <v>1</v>
        <stp/>
        <stp>T&amp;T1</stp>
        <stp>QUL</stp>
        <stp>54</stp>
        <tr r="I62" s="1"/>
      </tp>
      <tp>
        <v>7346.25</v>
        <stp/>
        <stp>T&amp;T1</stp>
        <stp>PRE</stp>
        <stp>40</stp>
        <tr r="H48" s="1"/>
      </tp>
      <tp>
        <v>7346.75</v>
        <stp/>
        <stp>T&amp;T0</stp>
        <stp>PRE</stp>
        <stp>40</stp>
        <tr r="B48" s="1"/>
      </tp>
      <tp>
        <v>1</v>
        <stp/>
        <stp>T&amp;T0</stp>
        <stp>QUL</stp>
        <stp>57</stp>
        <tr r="C65" s="1"/>
      </tp>
      <tp>
        <v>1</v>
        <stp/>
        <stp>T&amp;T1</stp>
        <stp>QUL</stp>
        <stp>57</stp>
        <tr r="I65" s="1"/>
      </tp>
      <tp>
        <v>7346.25</v>
        <stp/>
        <stp>T&amp;T1</stp>
        <stp>PRE</stp>
        <stp>41</stp>
        <tr r="H49" s="1"/>
      </tp>
      <tp>
        <v>7346.75</v>
        <stp/>
        <stp>T&amp;T0</stp>
        <stp>PRE</stp>
        <stp>41</stp>
        <tr r="B49" s="1"/>
      </tp>
      <tp>
        <v>1</v>
        <stp/>
        <stp>T&amp;T0</stp>
        <stp>QUL</stp>
        <stp>56</stp>
        <tr r="C64" s="1"/>
      </tp>
      <tp>
        <v>1</v>
        <stp/>
        <stp>T&amp;T1</stp>
        <stp>QUL</stp>
        <stp>56</stp>
        <tr r="I64" s="1"/>
      </tp>
      <tp>
        <v>1</v>
        <stp/>
        <stp>T&amp;T0</stp>
        <stp>QUL</stp>
        <stp>49</stp>
        <tr r="C57" s="1"/>
      </tp>
      <tp>
        <v>13</v>
        <stp/>
        <stp>T&amp;T1</stp>
        <stp>QUL</stp>
        <stp>49</stp>
        <tr r="I57" s="1"/>
      </tp>
      <tp>
        <v>2</v>
        <stp/>
        <stp>T&amp;T0</stp>
        <stp>QUL</stp>
        <stp>48</stp>
        <tr r="C56" s="1"/>
      </tp>
      <tp>
        <v>1</v>
        <stp/>
        <stp>T&amp;T1</stp>
        <stp>QUL</stp>
        <stp>48</stp>
        <tr r="I56" s="1"/>
      </tp>
      <tp>
        <v>7346.5</v>
        <stp/>
        <stp>T&amp;T1</stp>
        <stp>PRE</stp>
        <stp>58</stp>
        <tr r="H66" s="1"/>
      </tp>
      <tp>
        <v>7347</v>
        <stp/>
        <stp>T&amp;T0</stp>
        <stp>PRE</stp>
        <stp>58</stp>
        <tr r="B66" s="1"/>
      </tp>
      <tp>
        <v>7346.5</v>
        <stp/>
        <stp>T&amp;T1</stp>
        <stp>PRE</stp>
        <stp>59</stp>
        <tr r="H67" s="1"/>
      </tp>
      <tp>
        <v>7347</v>
        <stp/>
        <stp>T&amp;T0</stp>
        <stp>PRE</stp>
        <stp>59</stp>
        <tr r="B67" s="1"/>
      </tp>
      <tp>
        <v>7346.75</v>
        <stp/>
        <stp>T&amp;T1</stp>
        <stp>PRE</stp>
        <stp>56</stp>
        <tr r="H64" s="1"/>
      </tp>
      <tp>
        <v>7347</v>
        <stp/>
        <stp>T&amp;T0</stp>
        <stp>PRE</stp>
        <stp>56</stp>
        <tr r="B64" s="1"/>
      </tp>
      <tp>
        <v>2</v>
        <stp/>
        <stp>T&amp;T0</stp>
        <stp>QUL</stp>
        <stp>41</stp>
        <tr r="C49" s="1"/>
      </tp>
      <tp>
        <v>1</v>
        <stp/>
        <stp>T&amp;T1</stp>
        <stp>QUL</stp>
        <stp>41</stp>
        <tr r="I49" s="1"/>
      </tp>
      <tp>
        <v>7346.75</v>
        <stp/>
        <stp>T&amp;T1</stp>
        <stp>PRE</stp>
        <stp>57</stp>
        <tr r="H65" s="1"/>
      </tp>
      <tp>
        <v>7347</v>
        <stp/>
        <stp>T&amp;T0</stp>
        <stp>PRE</stp>
        <stp>57</stp>
        <tr r="B65" s="1"/>
      </tp>
      <tp>
        <v>5</v>
        <stp/>
        <stp>T&amp;T0</stp>
        <stp>QUL</stp>
        <stp>40</stp>
        <tr r="C48" s="1"/>
      </tp>
      <tp>
        <v>1</v>
        <stp/>
        <stp>T&amp;T1</stp>
        <stp>QUL</stp>
        <stp>40</stp>
        <tr r="I48" s="1"/>
      </tp>
      <tp>
        <v>7346.75</v>
        <stp/>
        <stp>T&amp;T1</stp>
        <stp>PRE</stp>
        <stp>54</stp>
        <tr r="H62" s="1"/>
      </tp>
      <tp>
        <v>7347.25</v>
        <stp/>
        <stp>T&amp;T0</stp>
        <stp>PRE</stp>
        <stp>54</stp>
        <tr r="B62" s="1"/>
      </tp>
      <tp>
        <v>1</v>
        <stp/>
        <stp>T&amp;T0</stp>
        <stp>QUL</stp>
        <stp>43</stp>
        <tr r="C51" s="1"/>
      </tp>
      <tp>
        <v>1</v>
        <stp/>
        <stp>T&amp;T1</stp>
        <stp>QUL</stp>
        <stp>43</stp>
        <tr r="I51" s="1"/>
      </tp>
      <tp>
        <v>7346.75</v>
        <stp/>
        <stp>T&amp;T1</stp>
        <stp>PRE</stp>
        <stp>55</stp>
        <tr r="H63" s="1"/>
      </tp>
      <tp>
        <v>7347</v>
        <stp/>
        <stp>T&amp;T0</stp>
        <stp>PRE</stp>
        <stp>55</stp>
        <tr r="B63" s="1"/>
      </tp>
      <tp>
        <v>2</v>
        <stp/>
        <stp>T&amp;T0</stp>
        <stp>QUL</stp>
        <stp>42</stp>
        <tr r="C50" s="1"/>
      </tp>
      <tp>
        <v>1</v>
        <stp/>
        <stp>T&amp;T1</stp>
        <stp>QUL</stp>
        <stp>42</stp>
        <tr r="I50" s="1"/>
      </tp>
      <tp>
        <v>7346.5</v>
        <stp/>
        <stp>T&amp;T1</stp>
        <stp>PRE</stp>
        <stp>52</stp>
        <tr r="H60" s="1"/>
      </tp>
      <tp>
        <v>7347.25</v>
        <stp/>
        <stp>T&amp;T0</stp>
        <stp>PRE</stp>
        <stp>52</stp>
        <tr r="B60" s="1"/>
      </tp>
      <tp>
        <v>1</v>
        <stp/>
        <stp>T&amp;T0</stp>
        <stp>QUL</stp>
        <stp>45</stp>
        <tr r="C53" s="1"/>
      </tp>
      <tp>
        <v>7</v>
        <stp/>
        <stp>T&amp;T1</stp>
        <stp>QUL</stp>
        <stp>45</stp>
        <tr r="I53" s="1"/>
      </tp>
      <tp>
        <v>7346.5</v>
        <stp/>
        <stp>T&amp;T1</stp>
        <stp>PRE</stp>
        <stp>53</stp>
        <tr r="H61" s="1"/>
      </tp>
      <tp>
        <v>7347.25</v>
        <stp/>
        <stp>T&amp;T0</stp>
        <stp>PRE</stp>
        <stp>53</stp>
        <tr r="B61" s="1"/>
      </tp>
      <tp>
        <v>1</v>
        <stp/>
        <stp>T&amp;T0</stp>
        <stp>QUL</stp>
        <stp>44</stp>
        <tr r="C52" s="1"/>
      </tp>
      <tp>
        <v>2</v>
        <stp/>
        <stp>T&amp;T1</stp>
        <stp>QUL</stp>
        <stp>44</stp>
        <tr r="I52" s="1"/>
      </tp>
      <tp>
        <v>7346.5</v>
        <stp/>
        <stp>T&amp;T1</stp>
        <stp>PRE</stp>
        <stp>50</stp>
        <tr r="H58" s="1"/>
      </tp>
      <tp>
        <v>7347.5</v>
        <stp/>
        <stp>T&amp;T0</stp>
        <stp>PRE</stp>
        <stp>50</stp>
        <tr r="B58" s="1"/>
      </tp>
      <tp>
        <v>4</v>
        <stp/>
        <stp>T&amp;T0</stp>
        <stp>QUL</stp>
        <stp>47</stp>
        <tr r="C55" s="1"/>
      </tp>
      <tp>
        <v>8</v>
        <stp/>
        <stp>T&amp;T1</stp>
        <stp>QUL</stp>
        <stp>47</stp>
        <tr r="I55" s="1"/>
      </tp>
      <tp>
        <v>7346.5</v>
        <stp/>
        <stp>T&amp;T1</stp>
        <stp>PRE</stp>
        <stp>51</stp>
        <tr r="H59" s="1"/>
      </tp>
      <tp>
        <v>7347.25</v>
        <stp/>
        <stp>T&amp;T0</stp>
        <stp>PRE</stp>
        <stp>51</stp>
        <tr r="B59" s="1"/>
      </tp>
      <tp>
        <v>1</v>
        <stp/>
        <stp>T&amp;T0</stp>
        <stp>QUL</stp>
        <stp>46</stp>
        <tr r="C54" s="1"/>
      </tp>
      <tp>
        <v>2</v>
        <stp/>
        <stp>T&amp;T1</stp>
        <stp>QUL</stp>
        <stp>46</stp>
        <tr r="I54" s="1"/>
      </tp>
      <tp t="s">
        <v>Comprador</v>
        <stp/>
        <stp>T&amp;T0</stp>
        <stp>AGR</stp>
        <stp>99</stp>
        <tr r="D107" s="1"/>
      </tp>
      <tp t="s">
        <v>Vendedor</v>
        <stp/>
        <stp>T&amp;T1</stp>
        <stp>AGR</stp>
        <stp>99</stp>
        <tr r="J107" s="1"/>
      </tp>
      <tp t="s">
        <v>Comprador</v>
        <stp/>
        <stp>T&amp;T0</stp>
        <stp>AGR</stp>
        <stp>98</stp>
        <tr r="D106" s="1"/>
      </tp>
      <tp t="s">
        <v>Vendedor</v>
        <stp/>
        <stp>T&amp;T1</stp>
        <stp>AGR</stp>
        <stp>98</stp>
        <tr r="J106" s="1"/>
      </tp>
      <tp t="s">
        <v>Comprador</v>
        <stp/>
        <stp>T&amp;T0</stp>
        <stp>AGR</stp>
        <stp>93</stp>
        <tr r="D101" s="1"/>
      </tp>
      <tp t="s">
        <v>Vendedor</v>
        <stp/>
        <stp>T&amp;T1</stp>
        <stp>AGR</stp>
        <stp>93</stp>
        <tr r="J101" s="1"/>
      </tp>
      <tp t="s">
        <v>Comprador</v>
        <stp/>
        <stp>T&amp;T0</stp>
        <stp>AGR</stp>
        <stp>92</stp>
        <tr r="D100" s="1"/>
      </tp>
      <tp t="s">
        <v>Vendedor</v>
        <stp/>
        <stp>T&amp;T1</stp>
        <stp>AGR</stp>
        <stp>92</stp>
        <tr r="J100" s="1"/>
      </tp>
      <tp t="s">
        <v>Comprador</v>
        <stp/>
        <stp>T&amp;T0</stp>
        <stp>AGR</stp>
        <stp>91</stp>
        <tr r="D99" s="1"/>
      </tp>
      <tp t="s">
        <v>Vendedor</v>
        <stp/>
        <stp>T&amp;T1</stp>
        <stp>AGR</stp>
        <stp>91</stp>
        <tr r="J99" s="1"/>
      </tp>
      <tp t="s">
        <v>Comprador</v>
        <stp/>
        <stp>T&amp;T0</stp>
        <stp>AGR</stp>
        <stp>90</stp>
        <tr r="D98" s="1"/>
      </tp>
      <tp t="s">
        <v>Vendedor</v>
        <stp/>
        <stp>T&amp;T1</stp>
        <stp>AGR</stp>
        <stp>90</stp>
        <tr r="J98" s="1"/>
      </tp>
      <tp t="s">
        <v>Comprador</v>
        <stp/>
        <stp>T&amp;T0</stp>
        <stp>AGR</stp>
        <stp>97</stp>
        <tr r="D105" s="1"/>
      </tp>
      <tp t="s">
        <v>Vendedor</v>
        <stp/>
        <stp>T&amp;T1</stp>
        <stp>AGR</stp>
        <stp>97</stp>
        <tr r="J105" s="1"/>
      </tp>
      <tp t="s">
        <v>Comprador</v>
        <stp/>
        <stp>T&amp;T0</stp>
        <stp>AGR</stp>
        <stp>96</stp>
        <tr r="D104" s="1"/>
      </tp>
      <tp t="s">
        <v>Vendedor</v>
        <stp/>
        <stp>T&amp;T1</stp>
        <stp>AGR</stp>
        <stp>96</stp>
        <tr r="J104" s="1"/>
      </tp>
      <tp t="s">
        <v>Comprador</v>
        <stp/>
        <stp>T&amp;T0</stp>
        <stp>AGR</stp>
        <stp>95</stp>
        <tr r="D103" s="1"/>
      </tp>
      <tp t="s">
        <v>Vendedor</v>
        <stp/>
        <stp>T&amp;T1</stp>
        <stp>AGR</stp>
        <stp>95</stp>
        <tr r="J103" s="1"/>
      </tp>
      <tp t="s">
        <v>Comprador</v>
        <stp/>
        <stp>T&amp;T0</stp>
        <stp>AGR</stp>
        <stp>94</stp>
        <tr r="D102" s="1"/>
      </tp>
      <tp t="s">
        <v>Vendedor</v>
        <stp/>
        <stp>T&amp;T1</stp>
        <stp>AGR</stp>
        <stp>94</stp>
        <tr r="J102" s="1"/>
      </tp>
      <tp t="s">
        <v>Comprador</v>
        <stp/>
        <stp>T&amp;T0</stp>
        <stp>AGR</stp>
        <stp>89</stp>
        <tr r="D97" s="1"/>
      </tp>
      <tp t="s">
        <v>Vendedor</v>
        <stp/>
        <stp>T&amp;T1</stp>
        <stp>AGR</stp>
        <stp>89</stp>
        <tr r="J97" s="1"/>
      </tp>
      <tp t="s">
        <v>Comprador</v>
        <stp/>
        <stp>T&amp;T0</stp>
        <stp>AGR</stp>
        <stp>88</stp>
        <tr r="D96" s="1"/>
      </tp>
      <tp t="s">
        <v>Vendedor</v>
        <stp/>
        <stp>T&amp;T1</stp>
        <stp>AGR</stp>
        <stp>88</stp>
        <tr r="J96" s="1"/>
      </tp>
      <tp t="s">
        <v>Comprador</v>
        <stp/>
        <stp>T&amp;T0</stp>
        <stp>AGR</stp>
        <stp>83</stp>
        <tr r="D91" s="1"/>
      </tp>
      <tp t="s">
        <v>Vendedor</v>
        <stp/>
        <stp>T&amp;T1</stp>
        <stp>AGR</stp>
        <stp>83</stp>
        <tr r="J91" s="1"/>
      </tp>
      <tp t="s">
        <v>Comprador</v>
        <stp/>
        <stp>T&amp;T0</stp>
        <stp>AGR</stp>
        <stp>82</stp>
        <tr r="D90" s="1"/>
      </tp>
      <tp t="s">
        <v>Vendedor</v>
        <stp/>
        <stp>T&amp;T1</stp>
        <stp>AGR</stp>
        <stp>82</stp>
        <tr r="J90" s="1"/>
      </tp>
      <tp t="s">
        <v>Comprador</v>
        <stp/>
        <stp>T&amp;T0</stp>
        <stp>AGR</stp>
        <stp>81</stp>
        <tr r="D89" s="1"/>
      </tp>
      <tp t="s">
        <v>Vendedor</v>
        <stp/>
        <stp>T&amp;T1</stp>
        <stp>AGR</stp>
        <stp>81</stp>
        <tr r="J89" s="1"/>
      </tp>
      <tp t="s">
        <v>Comprador</v>
        <stp/>
        <stp>T&amp;T0</stp>
        <stp>AGR</stp>
        <stp>80</stp>
        <tr r="D88" s="1"/>
      </tp>
      <tp t="s">
        <v>Vendedor</v>
        <stp/>
        <stp>T&amp;T1</stp>
        <stp>AGR</stp>
        <stp>80</stp>
        <tr r="J88" s="1"/>
      </tp>
      <tp t="s">
        <v>Comprador</v>
        <stp/>
        <stp>T&amp;T0</stp>
        <stp>AGR</stp>
        <stp>87</stp>
        <tr r="D95" s="1"/>
      </tp>
      <tp t="s">
        <v>Vendedor</v>
        <stp/>
        <stp>T&amp;T1</stp>
        <stp>AGR</stp>
        <stp>87</stp>
        <tr r="J95" s="1"/>
      </tp>
      <tp t="s">
        <v>Comprador</v>
        <stp/>
        <stp>T&amp;T0</stp>
        <stp>AGR</stp>
        <stp>86</stp>
        <tr r="D94" s="1"/>
      </tp>
      <tp t="s">
        <v>Vendedor</v>
        <stp/>
        <stp>T&amp;T1</stp>
        <stp>AGR</stp>
        <stp>86</stp>
        <tr r="J94" s="1"/>
      </tp>
      <tp t="s">
        <v>Comprador</v>
        <stp/>
        <stp>T&amp;T0</stp>
        <stp>AGR</stp>
        <stp>85</stp>
        <tr r="D93" s="1"/>
      </tp>
      <tp t="s">
        <v>Vendedor</v>
        <stp/>
        <stp>T&amp;T1</stp>
        <stp>AGR</stp>
        <stp>85</stp>
        <tr r="J93" s="1"/>
      </tp>
      <tp t="s">
        <v>Comprador</v>
        <stp/>
        <stp>T&amp;T0</stp>
        <stp>AGR</stp>
        <stp>84</stp>
        <tr r="D92" s="1"/>
      </tp>
      <tp t="s">
        <v>Vendedor</v>
        <stp/>
        <stp>T&amp;T1</stp>
        <stp>AGR</stp>
        <stp>84</stp>
        <tr r="J92" s="1"/>
      </tp>
      <tp t="s">
        <v>19:06:32.563</v>
        <stp/>
        <stp>T&amp;T0</stp>
        <stp>DAT</stp>
        <stp>89</stp>
        <tr r="A97" s="1"/>
      </tp>
      <tp t="s">
        <v>19:06:54.989</v>
        <stp/>
        <stp>T&amp;T1</stp>
        <stp>DAT</stp>
        <stp>89</stp>
        <tr r="G97" s="1"/>
      </tp>
      <tp t="s">
        <v>19:06:32.563</v>
        <stp/>
        <stp>T&amp;T0</stp>
        <stp>DAT</stp>
        <stp>88</stp>
        <tr r="A96" s="1"/>
      </tp>
      <tp t="s">
        <v>19:06:54.989</v>
        <stp/>
        <stp>T&amp;T1</stp>
        <stp>DAT</stp>
        <stp>88</stp>
        <tr r="G96" s="1"/>
      </tp>
      <tp t="s">
        <v>19:06:33.326</v>
        <stp/>
        <stp>T&amp;T0</stp>
        <stp>DAT</stp>
        <stp>85</stp>
        <tr r="A93" s="1"/>
      </tp>
      <tp t="s">
        <v>19:06:57.196</v>
        <stp/>
        <stp>T&amp;T1</stp>
        <stp>DAT</stp>
        <stp>85</stp>
        <tr r="G93" s="1"/>
      </tp>
      <tp t="s">
        <v>19:06:36.355</v>
        <stp/>
        <stp>T&amp;T0</stp>
        <stp>DAT</stp>
        <stp>84</stp>
        <tr r="A92" s="1"/>
      </tp>
      <tp t="s">
        <v>19:06:57.763</v>
        <stp/>
        <stp>T&amp;T1</stp>
        <stp>DAT</stp>
        <stp>84</stp>
        <tr r="G92" s="1"/>
      </tp>
      <tp t="s">
        <v>19:06:32.564</v>
        <stp/>
        <stp>T&amp;T0</stp>
        <stp>DAT</stp>
        <stp>87</stp>
        <tr r="A95" s="1"/>
      </tp>
      <tp t="s">
        <v>19:06:55.324</v>
        <stp/>
        <stp>T&amp;T1</stp>
        <stp>DAT</stp>
        <stp>87</stp>
        <tr r="G95" s="1"/>
      </tp>
      <tp t="s">
        <v>19:06:32.712</v>
        <stp/>
        <stp>T&amp;T0</stp>
        <stp>DAT</stp>
        <stp>86</stp>
        <tr r="A94" s="1"/>
      </tp>
      <tp t="s">
        <v>19:06:57.196</v>
        <stp/>
        <stp>T&amp;T1</stp>
        <stp>DAT</stp>
        <stp>86</stp>
        <tr r="G94" s="1"/>
      </tp>
      <tp t="s">
        <v>19:06:36.778</v>
        <stp/>
        <stp>T&amp;T0</stp>
        <stp>DAT</stp>
        <stp>81</stp>
        <tr r="A89" s="1"/>
      </tp>
      <tp t="s">
        <v>19:07:00.748</v>
        <stp/>
        <stp>T&amp;T1</stp>
        <stp>DAT</stp>
        <stp>81</stp>
        <tr r="G89" s="1"/>
      </tp>
      <tp t="s">
        <v>19:06:36.778</v>
        <stp/>
        <stp>T&amp;T0</stp>
        <stp>DAT</stp>
        <stp>80</stp>
        <tr r="A88" s="1"/>
      </tp>
      <tp t="s">
        <v>19:07:00.748</v>
        <stp/>
        <stp>T&amp;T1</stp>
        <stp>DAT</stp>
        <stp>80</stp>
        <tr r="G88" s="1"/>
      </tp>
      <tp t="s">
        <v>19:06:36.778</v>
        <stp/>
        <stp>T&amp;T0</stp>
        <stp>DAT</stp>
        <stp>83</stp>
        <tr r="A91" s="1"/>
      </tp>
      <tp t="s">
        <v>19:06:59.082</v>
        <stp/>
        <stp>T&amp;T1</stp>
        <stp>DAT</stp>
        <stp>83</stp>
        <tr r="G91" s="1"/>
      </tp>
      <tp t="s">
        <v>19:06:36.778</v>
        <stp/>
        <stp>T&amp;T0</stp>
        <stp>DAT</stp>
        <stp>82</stp>
        <tr r="A90" s="1"/>
      </tp>
      <tp t="s">
        <v>19:07:00.748</v>
        <stp/>
        <stp>T&amp;T1</stp>
        <stp>DAT</stp>
        <stp>82</stp>
        <tr r="G90" s="1"/>
      </tp>
      <tp t="s">
        <v>19:06:30.709</v>
        <stp/>
        <stp>T&amp;T0</stp>
        <stp>DAT</stp>
        <stp>99</stp>
        <tr r="A107" s="1"/>
      </tp>
      <tp t="s">
        <v>19:06:49.913</v>
        <stp/>
        <stp>T&amp;T1</stp>
        <stp>DAT</stp>
        <stp>99</stp>
        <tr r="G107" s="1"/>
      </tp>
      <tp t="s">
        <v>19:06:30.709</v>
        <stp/>
        <stp>T&amp;T0</stp>
        <stp>DAT</stp>
        <stp>98</stp>
        <tr r="A106" s="1"/>
      </tp>
      <tp t="s">
        <v>19:06:49.913</v>
        <stp/>
        <stp>T&amp;T1</stp>
        <stp>DAT</stp>
        <stp>98</stp>
        <tr r="G106" s="1"/>
      </tp>
      <tp t="s">
        <v>19:06:30.709</v>
        <stp/>
        <stp>T&amp;T0</stp>
        <stp>DAT</stp>
        <stp>95</stp>
        <tr r="A103" s="1"/>
      </tp>
      <tp t="s">
        <v>19:06:52.524</v>
        <stp/>
        <stp>T&amp;T1</stp>
        <stp>DAT</stp>
        <stp>95</stp>
        <tr r="G103" s="1"/>
      </tp>
      <tp t="s">
        <v>19:06:30.709</v>
        <stp/>
        <stp>T&amp;T0</stp>
        <stp>DAT</stp>
        <stp>94</stp>
        <tr r="A102" s="1"/>
      </tp>
      <tp t="s">
        <v>19:06:52.536</v>
        <stp/>
        <stp>T&amp;T1</stp>
        <stp>DAT</stp>
        <stp>94</stp>
        <tr r="G102" s="1"/>
      </tp>
      <tp t="s">
        <v>19:06:30.709</v>
        <stp/>
        <stp>T&amp;T0</stp>
        <stp>DAT</stp>
        <stp>97</stp>
        <tr r="A105" s="1"/>
      </tp>
      <tp t="s">
        <v>19:06:50.154</v>
        <stp/>
        <stp>T&amp;T1</stp>
        <stp>DAT</stp>
        <stp>97</stp>
        <tr r="G105" s="1"/>
      </tp>
      <tp t="s">
        <v>19:06:30.709</v>
        <stp/>
        <stp>T&amp;T0</stp>
        <stp>DAT</stp>
        <stp>96</stp>
        <tr r="A104" s="1"/>
      </tp>
      <tp t="s">
        <v>19:06:51.292</v>
        <stp/>
        <stp>T&amp;T1</stp>
        <stp>DAT</stp>
        <stp>96</stp>
        <tr r="G104" s="1"/>
      </tp>
      <tp t="s">
        <v>19:06:32.043</v>
        <stp/>
        <stp>T&amp;T0</stp>
        <stp>DAT</stp>
        <stp>91</stp>
        <tr r="A99" s="1"/>
      </tp>
      <tp t="s">
        <v>19:06:54.070</v>
        <stp/>
        <stp>T&amp;T1</stp>
        <stp>DAT</stp>
        <stp>91</stp>
        <tr r="G99" s="1"/>
      </tp>
      <tp t="s">
        <v>19:06:32.250</v>
        <stp/>
        <stp>T&amp;T0</stp>
        <stp>DAT</stp>
        <stp>90</stp>
        <tr r="A98" s="1"/>
      </tp>
      <tp t="s">
        <v>19:06:54.788</v>
        <stp/>
        <stp>T&amp;T1</stp>
        <stp>DAT</stp>
        <stp>90</stp>
        <tr r="G98" s="1"/>
      </tp>
      <tp t="s">
        <v>19:06:31.382</v>
        <stp/>
        <stp>T&amp;T0</stp>
        <stp>DAT</stp>
        <stp>93</stp>
        <tr r="A101" s="1"/>
      </tp>
      <tp t="s">
        <v>19:06:52.539</v>
        <stp/>
        <stp>T&amp;T1</stp>
        <stp>DAT</stp>
        <stp>93</stp>
        <tr r="G101" s="1"/>
      </tp>
      <tp t="s">
        <v>19:06:31.659</v>
        <stp/>
        <stp>T&amp;T0</stp>
        <stp>DAT</stp>
        <stp>92</stp>
        <tr r="A100" s="1"/>
      </tp>
      <tp t="s">
        <v>19:06:54.069</v>
        <stp/>
        <stp>T&amp;T1</stp>
        <stp>DAT</stp>
        <stp>92</stp>
        <tr r="G100" s="1"/>
      </tp>
      <tp t="s">
        <v>Comprador</v>
        <stp/>
        <stp>T&amp;T0</stp>
        <stp>AGR</stp>
        <stp>39</stp>
        <tr r="D47" s="1"/>
      </tp>
      <tp t="s">
        <v>Vendedor</v>
        <stp/>
        <stp>T&amp;T1</stp>
        <stp>AGR</stp>
        <stp>39</stp>
        <tr r="J47" s="1"/>
      </tp>
      <tp t="s">
        <v>Comprador</v>
        <stp/>
        <stp>T&amp;T0</stp>
        <stp>AGR</stp>
        <stp>38</stp>
        <tr r="D46" s="1"/>
      </tp>
      <tp t="s">
        <v>Vendedor</v>
        <stp/>
        <stp>T&amp;T1</stp>
        <stp>AGR</stp>
        <stp>38</stp>
        <tr r="J46" s="1"/>
      </tp>
      <tp t="s">
        <v>19:06:40.697</v>
        <stp/>
        <stp>T&amp;T0</stp>
        <stp>DAT</stp>
        <stp>69</stp>
        <tr r="A77" s="1"/>
      </tp>
      <tp t="s">
        <v>19:07:22.741</v>
        <stp/>
        <stp>T&amp;T1</stp>
        <stp>DAT</stp>
        <stp>69</stp>
        <tr r="G77" s="1"/>
      </tp>
      <tp t="s">
        <v>19:06:40.998</v>
        <stp/>
        <stp>T&amp;T0</stp>
        <stp>DAT</stp>
        <stp>68</stp>
        <tr r="A76" s="1"/>
      </tp>
      <tp t="s">
        <v>19:07:22.761</v>
        <stp/>
        <stp>T&amp;T1</stp>
        <stp>DAT</stp>
        <stp>68</stp>
        <tr r="G76" s="1"/>
      </tp>
      <tp t="s">
        <v>19:06:46.642</v>
        <stp/>
        <stp>T&amp;T0</stp>
        <stp>DAT</stp>
        <stp>65</stp>
        <tr r="A73" s="1"/>
      </tp>
      <tp t="s">
        <v>19:07:24.481</v>
        <stp/>
        <stp>T&amp;T1</stp>
        <stp>DAT</stp>
        <stp>65</stp>
        <tr r="G73" s="1"/>
      </tp>
      <tp t="s">
        <v>Comprador</v>
        <stp/>
        <stp>T&amp;T0</stp>
        <stp>AGR</stp>
        <stp>33</stp>
        <tr r="D41" s="1"/>
      </tp>
      <tp t="s">
        <v>Vendedor</v>
        <stp/>
        <stp>T&amp;T1</stp>
        <stp>AGR</stp>
        <stp>33</stp>
        <tr r="J41" s="1"/>
      </tp>
      <tp t="s">
        <v>19:06:47.255</v>
        <stp/>
        <stp>T&amp;T0</stp>
        <stp>DAT</stp>
        <stp>64</stp>
        <tr r="A72" s="1"/>
      </tp>
      <tp t="s">
        <v>19:07:24.575</v>
        <stp/>
        <stp>T&amp;T1</stp>
        <stp>DAT</stp>
        <stp>64</stp>
        <tr r="G72" s="1"/>
      </tp>
      <tp t="s">
        <v>Comprador</v>
        <stp/>
        <stp>T&amp;T0</stp>
        <stp>AGR</stp>
        <stp>32</stp>
        <tr r="D40" s="1"/>
      </tp>
      <tp t="s">
        <v>Vendedor</v>
        <stp/>
        <stp>T&amp;T1</stp>
        <stp>AGR</stp>
        <stp>32</stp>
        <tr r="J40" s="1"/>
      </tp>
      <tp t="s">
        <v>19:06:42.969</v>
        <stp/>
        <stp>T&amp;T0</stp>
        <stp>DAT</stp>
        <stp>67</stp>
        <tr r="A75" s="1"/>
      </tp>
      <tp t="s">
        <v>19:07:23.988</v>
        <stp/>
        <stp>T&amp;T1</stp>
        <stp>DAT</stp>
        <stp>67</stp>
        <tr r="G75" s="1"/>
      </tp>
      <tp t="s">
        <v>Comprador</v>
        <stp/>
        <stp>T&amp;T0</stp>
        <stp>AGR</stp>
        <stp>31</stp>
        <tr r="D39" s="1"/>
      </tp>
      <tp t="s">
        <v>Vendedor</v>
        <stp/>
        <stp>T&amp;T1</stp>
        <stp>AGR</stp>
        <stp>31</stp>
        <tr r="J39" s="1"/>
      </tp>
      <tp t="s">
        <v>19:06:45.336</v>
        <stp/>
        <stp>T&amp;T0</stp>
        <stp>DAT</stp>
        <stp>66</stp>
        <tr r="A74" s="1"/>
      </tp>
      <tp t="s">
        <v>19:07:24.018</v>
        <stp/>
        <stp>T&amp;T1</stp>
        <stp>DAT</stp>
        <stp>66</stp>
        <tr r="G74" s="1"/>
      </tp>
      <tp t="s">
        <v>Comprador</v>
        <stp/>
        <stp>T&amp;T0</stp>
        <stp>AGR</stp>
        <stp>30</stp>
        <tr r="D38" s="1"/>
      </tp>
      <tp t="s">
        <v>Vendedor</v>
        <stp/>
        <stp>T&amp;T1</stp>
        <stp>AGR</stp>
        <stp>30</stp>
        <tr r="J38" s="1"/>
      </tp>
      <tp t="s">
        <v>19:06:48.560</v>
        <stp/>
        <stp>T&amp;T0</stp>
        <stp>DAT</stp>
        <stp>61</stp>
        <tr r="A69" s="1"/>
      </tp>
      <tp t="s">
        <v>19:07:26.047</v>
        <stp/>
        <stp>T&amp;T1</stp>
        <stp>DAT</stp>
        <stp>61</stp>
        <tr r="G69" s="1"/>
      </tp>
      <tp t="s">
        <v>Comprador</v>
        <stp/>
        <stp>T&amp;T0</stp>
        <stp>AGR</stp>
        <stp>37</stp>
        <tr r="D45" s="1"/>
      </tp>
      <tp t="s">
        <v>Vendedor</v>
        <stp/>
        <stp>T&amp;T1</stp>
        <stp>AGR</stp>
        <stp>37</stp>
        <tr r="J45" s="1"/>
      </tp>
      <tp t="s">
        <v>19:06:48.615</v>
        <stp/>
        <stp>T&amp;T0</stp>
        <stp>DAT</stp>
        <stp>60</stp>
        <tr r="A68" s="1"/>
      </tp>
      <tp t="s">
        <v>19:07:27.181</v>
        <stp/>
        <stp>T&amp;T1</stp>
        <stp>DAT</stp>
        <stp>60</stp>
        <tr r="G68" s="1"/>
      </tp>
      <tp t="s">
        <v>Comprador</v>
        <stp/>
        <stp>T&amp;T0</stp>
        <stp>AGR</stp>
        <stp>36</stp>
        <tr r="D44" s="1"/>
      </tp>
      <tp t="s">
        <v>Vendedor</v>
        <stp/>
        <stp>T&amp;T1</stp>
        <stp>AGR</stp>
        <stp>36</stp>
        <tr r="J44" s="1"/>
      </tp>
      <tp t="s">
        <v>19:06:48.559</v>
        <stp/>
        <stp>T&amp;T0</stp>
        <stp>DAT</stp>
        <stp>63</stp>
        <tr r="A71" s="1"/>
      </tp>
      <tp t="s">
        <v>19:07:25.405</v>
        <stp/>
        <stp>T&amp;T1</stp>
        <stp>DAT</stp>
        <stp>63</stp>
        <tr r="G71" s="1"/>
      </tp>
      <tp t="s">
        <v>Comprador</v>
        <stp/>
        <stp>T&amp;T0</stp>
        <stp>AGR</stp>
        <stp>35</stp>
        <tr r="D43" s="1"/>
      </tp>
      <tp t="s">
        <v>Vendedor</v>
        <stp/>
        <stp>T&amp;T1</stp>
        <stp>AGR</stp>
        <stp>35</stp>
        <tr r="J43" s="1"/>
      </tp>
      <tp t="s">
        <v>19:06:48.560</v>
        <stp/>
        <stp>T&amp;T0</stp>
        <stp>DAT</stp>
        <stp>62</stp>
        <tr r="A70" s="1"/>
      </tp>
      <tp t="s">
        <v>19:07:25.468</v>
        <stp/>
        <stp>T&amp;T1</stp>
        <stp>DAT</stp>
        <stp>62</stp>
        <tr r="G70" s="1"/>
      </tp>
      <tp t="s">
        <v>Comprador</v>
        <stp/>
        <stp>T&amp;T0</stp>
        <stp>AGR</stp>
        <stp>34</stp>
        <tr r="D42" s="1"/>
      </tp>
      <tp t="s">
        <v>Vendedor</v>
        <stp/>
        <stp>T&amp;T1</stp>
        <stp>AGR</stp>
        <stp>34</stp>
        <tr r="J42" s="1"/>
      </tp>
      <tp t="s">
        <v>Comprador</v>
        <stp/>
        <stp>T&amp;T0</stp>
        <stp>AGR</stp>
        <stp>29</stp>
        <tr r="D37" s="1"/>
      </tp>
      <tp t="s">
        <v>Vendedor</v>
        <stp/>
        <stp>T&amp;T1</stp>
        <stp>AGR</stp>
        <stp>29</stp>
        <tr r="J37" s="1"/>
      </tp>
      <tp t="s">
        <v>Comprador</v>
        <stp/>
        <stp>T&amp;T0</stp>
        <stp>AGR</stp>
        <stp>28</stp>
        <tr r="D36" s="1"/>
      </tp>
      <tp t="s">
        <v>Vendedor</v>
        <stp/>
        <stp>T&amp;T1</stp>
        <stp>AGR</stp>
        <stp>28</stp>
        <tr r="J36" s="1"/>
      </tp>
      <tp t="s">
        <v>19:06:36.778</v>
        <stp/>
        <stp>T&amp;T0</stp>
        <stp>DAT</stp>
        <stp>79</stp>
        <tr r="A87" s="1"/>
      </tp>
      <tp t="s">
        <v>19:07:08.940</v>
        <stp/>
        <stp>T&amp;T1</stp>
        <stp>DAT</stp>
        <stp>79</stp>
        <tr r="G87" s="1"/>
      </tp>
      <tp t="s">
        <v>19:06:36.778</v>
        <stp/>
        <stp>T&amp;T0</stp>
        <stp>DAT</stp>
        <stp>78</stp>
        <tr r="A86" s="1"/>
      </tp>
      <tp t="s">
        <v>19:07:08.982</v>
        <stp/>
        <stp>T&amp;T1</stp>
        <stp>DAT</stp>
        <stp>78</stp>
        <tr r="G86" s="1"/>
      </tp>
      <tp t="s">
        <v>19:06:36.778</v>
        <stp/>
        <stp>T&amp;T0</stp>
        <stp>DAT</stp>
        <stp>75</stp>
        <tr r="A83" s="1"/>
      </tp>
      <tp t="s">
        <v>19:07:13.783</v>
        <stp/>
        <stp>T&amp;T1</stp>
        <stp>DAT</stp>
        <stp>75</stp>
        <tr r="G83" s="1"/>
      </tp>
      <tp t="s">
        <v>Comprador</v>
        <stp/>
        <stp>T&amp;T0</stp>
        <stp>AGR</stp>
        <stp>23</stp>
        <tr r="D31" s="1"/>
      </tp>
      <tp t="s">
        <v>Vendedor</v>
        <stp/>
        <stp>T&amp;T1</stp>
        <stp>AGR</stp>
        <stp>23</stp>
        <tr r="J31" s="1"/>
      </tp>
      <tp t="s">
        <v>19:06:36.815</v>
        <stp/>
        <stp>T&amp;T0</stp>
        <stp>DAT</stp>
        <stp>74</stp>
        <tr r="A82" s="1"/>
      </tp>
      <tp t="s">
        <v>19:07:16.774</v>
        <stp/>
        <stp>T&amp;T1</stp>
        <stp>DAT</stp>
        <stp>74</stp>
        <tr r="G82" s="1"/>
      </tp>
      <tp t="s">
        <v>Comprador</v>
        <stp/>
        <stp>T&amp;T0</stp>
        <stp>AGR</stp>
        <stp>22</stp>
        <tr r="D30" s="1"/>
      </tp>
      <tp t="s">
        <v>Vendedor</v>
        <stp/>
        <stp>T&amp;T1</stp>
        <stp>AGR</stp>
        <stp>22</stp>
        <tr r="J30" s="1"/>
      </tp>
      <tp t="s">
        <v>19:06:36.778</v>
        <stp/>
        <stp>T&amp;T0</stp>
        <stp>DAT</stp>
        <stp>77</stp>
        <tr r="A85" s="1"/>
      </tp>
      <tp t="s">
        <v>19:07:13.749</v>
        <stp/>
        <stp>T&amp;T1</stp>
        <stp>DAT</stp>
        <stp>77</stp>
        <tr r="G85" s="1"/>
      </tp>
      <tp t="s">
        <v>Comprador</v>
        <stp/>
        <stp>T&amp;T0</stp>
        <stp>AGR</stp>
        <stp>21</stp>
        <tr r="D29" s="1"/>
      </tp>
      <tp t="s">
        <v>Vendedor</v>
        <stp/>
        <stp>T&amp;T1</stp>
        <stp>AGR</stp>
        <stp>21</stp>
        <tr r="J29" s="1"/>
      </tp>
      <tp t="s">
        <v>19:06:36.778</v>
        <stp/>
        <stp>T&amp;T0</stp>
        <stp>DAT</stp>
        <stp>76</stp>
        <tr r="A84" s="1"/>
      </tp>
      <tp t="s">
        <v>19:07:13.782</v>
        <stp/>
        <stp>T&amp;T1</stp>
        <stp>DAT</stp>
        <stp>76</stp>
        <tr r="G84" s="1"/>
      </tp>
      <tp t="s">
        <v>Comprador</v>
        <stp/>
        <stp>T&amp;T0</stp>
        <stp>AGR</stp>
        <stp>20</stp>
        <tr r="D28" s="1"/>
      </tp>
      <tp t="s">
        <v>Vendedor</v>
        <stp/>
        <stp>T&amp;T1</stp>
        <stp>AGR</stp>
        <stp>20</stp>
        <tr r="J28" s="1"/>
      </tp>
      <tp t="s">
        <v>19:06:38.587</v>
        <stp/>
        <stp>T&amp;T0</stp>
        <stp>DAT</stp>
        <stp>71</stp>
        <tr r="A79" s="1"/>
      </tp>
      <tp t="s">
        <v>19:07:21.252</v>
        <stp/>
        <stp>T&amp;T1</stp>
        <stp>DAT</stp>
        <stp>71</stp>
        <tr r="G79" s="1"/>
      </tp>
      <tp t="s">
        <v>Comprador</v>
        <stp/>
        <stp>T&amp;T0</stp>
        <stp>AGR</stp>
        <stp>27</stp>
        <tr r="D35" s="1"/>
      </tp>
      <tp t="s">
        <v>Vendedor</v>
        <stp/>
        <stp>T&amp;T1</stp>
        <stp>AGR</stp>
        <stp>27</stp>
        <tr r="J35" s="1"/>
      </tp>
      <tp t="s">
        <v>19:06:38.610</v>
        <stp/>
        <stp>T&amp;T0</stp>
        <stp>DAT</stp>
        <stp>70</stp>
        <tr r="A78" s="1"/>
      </tp>
      <tp t="s">
        <v>19:07:22.740</v>
        <stp/>
        <stp>T&amp;T1</stp>
        <stp>DAT</stp>
        <stp>70</stp>
        <tr r="G78" s="1"/>
      </tp>
      <tp t="s">
        <v>Comprador</v>
        <stp/>
        <stp>T&amp;T0</stp>
        <stp>AGR</stp>
        <stp>26</stp>
        <tr r="D34" s="1"/>
      </tp>
      <tp t="s">
        <v>Vendedor</v>
        <stp/>
        <stp>T&amp;T1</stp>
        <stp>AGR</stp>
        <stp>26</stp>
        <tr r="J34" s="1"/>
      </tp>
      <tp t="s">
        <v>19:06:38.000</v>
        <stp/>
        <stp>T&amp;T0</stp>
        <stp>DAT</stp>
        <stp>73</stp>
        <tr r="A81" s="1"/>
      </tp>
      <tp t="s">
        <v>19:07:17.156</v>
        <stp/>
        <stp>T&amp;T1</stp>
        <stp>DAT</stp>
        <stp>73</stp>
        <tr r="G81" s="1"/>
      </tp>
      <tp t="s">
        <v>Comprador</v>
        <stp/>
        <stp>T&amp;T0</stp>
        <stp>AGR</stp>
        <stp>25</stp>
        <tr r="D33" s="1"/>
      </tp>
      <tp t="s">
        <v>Vendedor</v>
        <stp/>
        <stp>T&amp;T1</stp>
        <stp>AGR</stp>
        <stp>25</stp>
        <tr r="J33" s="1"/>
      </tp>
      <tp t="s">
        <v>19:06:38.453</v>
        <stp/>
        <stp>T&amp;T0</stp>
        <stp>DAT</stp>
        <stp>72</stp>
        <tr r="A80" s="1"/>
      </tp>
      <tp t="s">
        <v>19:07:20.596</v>
        <stp/>
        <stp>T&amp;T1</stp>
        <stp>DAT</stp>
        <stp>72</stp>
        <tr r="G80" s="1"/>
      </tp>
      <tp t="s">
        <v>Comprador</v>
        <stp/>
        <stp>T&amp;T0</stp>
        <stp>AGR</stp>
        <stp>24</stp>
        <tr r="D32" s="1"/>
      </tp>
      <tp t="s">
        <v>Vendedor</v>
        <stp/>
        <stp>T&amp;T1</stp>
        <stp>AGR</stp>
        <stp>24</stp>
        <tr r="J32" s="1"/>
      </tp>
      <tp t="s">
        <v>Comprador</v>
        <stp/>
        <stp>T&amp;T0</stp>
        <stp>AGR</stp>
        <stp>19</stp>
        <tr r="D27" s="1"/>
      </tp>
      <tp t="s">
        <v>Vendedor</v>
        <stp/>
        <stp>T&amp;T1</stp>
        <stp>AGR</stp>
        <stp>19</stp>
        <tr r="J27" s="1"/>
      </tp>
      <tp t="s">
        <v>Comprador</v>
        <stp/>
        <stp>T&amp;T0</stp>
        <stp>AGR</stp>
        <stp>18</stp>
        <tr r="D26" s="1"/>
      </tp>
      <tp t="s">
        <v>Vendedor</v>
        <stp/>
        <stp>T&amp;T1</stp>
        <stp>AGR</stp>
        <stp>18</stp>
        <tr r="J26" s="1"/>
      </tp>
      <tp t="s">
        <v>19:06:52.544</v>
        <stp/>
        <stp>T&amp;T0</stp>
        <stp>DAT</stp>
        <stp>49</stp>
        <tr r="A57" s="1"/>
      </tp>
      <tp t="s">
        <v>19:07:40.321</v>
        <stp/>
        <stp>T&amp;T1</stp>
        <stp>DAT</stp>
        <stp>49</stp>
        <tr r="G57" s="1"/>
      </tp>
      <tp t="s">
        <v>19:06:54.069</v>
        <stp/>
        <stp>T&amp;T0</stp>
        <stp>DAT</stp>
        <stp>48</stp>
        <tr r="A56" s="1"/>
      </tp>
      <tp t="s">
        <v>19:07:40.322</v>
        <stp/>
        <stp>T&amp;T1</stp>
        <stp>DAT</stp>
        <stp>48</stp>
        <tr r="G56" s="1"/>
      </tp>
      <tp t="s">
        <v>19:07:13.750</v>
        <stp/>
        <stp>T&amp;T0</stp>
        <stp>DAT</stp>
        <stp>45</stp>
        <tr r="A53" s="1"/>
      </tp>
      <tp t="s">
        <v>19:07:46.296</v>
        <stp/>
        <stp>T&amp;T1</stp>
        <stp>DAT</stp>
        <stp>45</stp>
        <tr r="G53" s="1"/>
      </tp>
      <tp t="s">
        <v>Comprador</v>
        <stp/>
        <stp>T&amp;T0</stp>
        <stp>AGR</stp>
        <stp>13</stp>
        <tr r="D21" s="1"/>
      </tp>
      <tp t="s">
        <v>Vendedor</v>
        <stp/>
        <stp>T&amp;T1</stp>
        <stp>AGR</stp>
        <stp>13</stp>
        <tr r="J21" s="1"/>
      </tp>
      <tp t="s">
        <v>19:07:17.043</v>
        <stp/>
        <stp>T&amp;T0</stp>
        <stp>DAT</stp>
        <stp>44</stp>
        <tr r="A52" s="1"/>
      </tp>
      <tp t="s">
        <v>19:07:46.633</v>
        <stp/>
        <stp>T&amp;T1</stp>
        <stp>DAT</stp>
        <stp>44</stp>
        <tr r="G52" s="1"/>
      </tp>
      <tp t="s">
        <v>Comprador</v>
        <stp/>
        <stp>T&amp;T0</stp>
        <stp>AGR</stp>
        <stp>12</stp>
        <tr r="D20" s="1"/>
      </tp>
      <tp t="s">
        <v>Vendedor</v>
        <stp/>
        <stp>T&amp;T1</stp>
        <stp>AGR</stp>
        <stp>12</stp>
        <tr r="J20" s="1"/>
      </tp>
      <tp t="s">
        <v>19:06:54.069</v>
        <stp/>
        <stp>T&amp;T0</stp>
        <stp>DAT</stp>
        <stp>47</stp>
        <tr r="A55" s="1"/>
      </tp>
      <tp t="s">
        <v>19:07:42.894</v>
        <stp/>
        <stp>T&amp;T1</stp>
        <stp>DAT</stp>
        <stp>47</stp>
        <tr r="G55" s="1"/>
      </tp>
      <tp t="s">
        <v>Comprador</v>
        <stp/>
        <stp>T&amp;T0</stp>
        <stp>AGR</stp>
        <stp>11</stp>
        <tr r="D19" s="1"/>
      </tp>
      <tp t="s">
        <v>Vendedor</v>
        <stp/>
        <stp>T&amp;T1</stp>
        <stp>AGR</stp>
        <stp>11</stp>
        <tr r="J19" s="1"/>
      </tp>
      <tp t="s">
        <v>19:07:13.749</v>
        <stp/>
        <stp>T&amp;T0</stp>
        <stp>DAT</stp>
        <stp>46</stp>
        <tr r="A54" s="1"/>
      </tp>
      <tp t="s">
        <v>19:07:42.895</v>
        <stp/>
        <stp>T&amp;T1</stp>
        <stp>DAT</stp>
        <stp>46</stp>
        <tr r="G54" s="1"/>
      </tp>
      <tp t="s">
        <v>Comprador</v>
        <stp/>
        <stp>T&amp;T0</stp>
        <stp>AGR</stp>
        <stp>10</stp>
        <tr r="D18" s="1"/>
      </tp>
      <tp t="s">
        <v>Vendedor</v>
        <stp/>
        <stp>T&amp;T1</stp>
        <stp>AGR</stp>
        <stp>10</stp>
        <tr r="J18" s="1"/>
      </tp>
      <tp t="s">
        <v>19:07:26.113</v>
        <stp/>
        <stp>T&amp;T0</stp>
        <stp>DAT</stp>
        <stp>41</stp>
        <tr r="A49" s="1"/>
      </tp>
      <tp t="s">
        <v>19:07:50.487</v>
        <stp/>
        <stp>T&amp;T1</stp>
        <stp>DAT</stp>
        <stp>41</stp>
        <tr r="G49" s="1"/>
      </tp>
      <tp t="s">
        <v>Comprador</v>
        <stp/>
        <stp>T&amp;T0</stp>
        <stp>AGR</stp>
        <stp>17</stp>
        <tr r="D25" s="1"/>
      </tp>
      <tp t="s">
        <v>Vendedor</v>
        <stp/>
        <stp>T&amp;T1</stp>
        <stp>AGR</stp>
        <stp>17</stp>
        <tr r="J25" s="1"/>
      </tp>
      <tp t="s">
        <v>19:07:27.325</v>
        <stp/>
        <stp>T&amp;T0</stp>
        <stp>DAT</stp>
        <stp>40</stp>
        <tr r="A48" s="1"/>
      </tp>
      <tp t="s">
        <v>19:07:51.374</v>
        <stp/>
        <stp>T&amp;T1</stp>
        <stp>DAT</stp>
        <stp>40</stp>
        <tr r="G48" s="1"/>
      </tp>
      <tp t="s">
        <v>Comprador</v>
        <stp/>
        <stp>T&amp;T0</stp>
        <stp>AGR</stp>
        <stp>16</stp>
        <tr r="D24" s="1"/>
      </tp>
      <tp t="s">
        <v>Vendedor</v>
        <stp/>
        <stp>T&amp;T1</stp>
        <stp>AGR</stp>
        <stp>16</stp>
        <tr r="J24" s="1"/>
      </tp>
      <tp t="s">
        <v>19:07:22.257</v>
        <stp/>
        <stp>T&amp;T0</stp>
        <stp>DAT</stp>
        <stp>43</stp>
        <tr r="A51" s="1"/>
      </tp>
      <tp t="s">
        <v>19:07:49.141</v>
        <stp/>
        <stp>T&amp;T1</stp>
        <stp>DAT</stp>
        <stp>43</stp>
        <tr r="G51" s="1"/>
      </tp>
      <tp t="s">
        <v>Comprador</v>
        <stp/>
        <stp>T&amp;T0</stp>
        <stp>AGR</stp>
        <stp>15</stp>
        <tr r="D23" s="1"/>
      </tp>
      <tp t="s">
        <v>Vendedor</v>
        <stp/>
        <stp>T&amp;T1</stp>
        <stp>AGR</stp>
        <stp>15</stp>
        <tr r="J23" s="1"/>
      </tp>
      <tp t="s">
        <v>19:07:25.405</v>
        <stp/>
        <stp>T&amp;T0</stp>
        <stp>DAT</stp>
        <stp>42</stp>
        <tr r="A50" s="1"/>
      </tp>
      <tp t="s">
        <v>19:07:50.367</v>
        <stp/>
        <stp>T&amp;T1</stp>
        <stp>DAT</stp>
        <stp>42</stp>
        <tr r="G50" s="1"/>
      </tp>
      <tp t="s">
        <v>Comprador</v>
        <stp/>
        <stp>T&amp;T0</stp>
        <stp>AGR</stp>
        <stp>14</stp>
        <tr r="D22" s="1"/>
      </tp>
      <tp t="s">
        <v>Vendedor</v>
        <stp/>
        <stp>T&amp;T1</stp>
        <stp>AGR</stp>
        <stp>14</stp>
        <tr r="J22" s="1"/>
      </tp>
      <tp t="s">
        <v>19:06:48.615</v>
        <stp/>
        <stp>T&amp;T0</stp>
        <stp>DAT</stp>
        <stp>59</stp>
        <tr r="A67" s="1"/>
      </tp>
      <tp t="s">
        <v>19:07:27.532</v>
        <stp/>
        <stp>T&amp;T1</stp>
        <stp>DAT</stp>
        <stp>59</stp>
        <tr r="G67" s="1"/>
      </tp>
      <tp t="s">
        <v>19:06:49.070</v>
        <stp/>
        <stp>T&amp;T0</stp>
        <stp>DAT</stp>
        <stp>58</stp>
        <tr r="A66" s="1"/>
      </tp>
      <tp t="s">
        <v>19:07:27.682</v>
        <stp/>
        <stp>T&amp;T1</stp>
        <stp>DAT</stp>
        <stp>58</stp>
        <tr r="G66" s="1"/>
      </tp>
      <tp t="s">
        <v>19:06:51.291</v>
        <stp/>
        <stp>T&amp;T0</stp>
        <stp>DAT</stp>
        <stp>55</stp>
        <tr r="A63" s="1"/>
      </tp>
      <tp t="s">
        <v>19:07:31.419</v>
        <stp/>
        <stp>T&amp;T1</stp>
        <stp>DAT</stp>
        <stp>55</stp>
        <tr r="G63" s="1"/>
      </tp>
      <tp t="s">
        <v>19:06:51.291</v>
        <stp/>
        <stp>T&amp;T0</stp>
        <stp>DAT</stp>
        <stp>54</stp>
        <tr r="A62" s="1"/>
      </tp>
      <tp t="s">
        <v>19:07:35.001</v>
        <stp/>
        <stp>T&amp;T1</stp>
        <stp>DAT</stp>
        <stp>54</stp>
        <tr r="G62" s="1"/>
      </tp>
      <tp t="s">
        <v>19:06:49.187</v>
        <stp/>
        <stp>T&amp;T0</stp>
        <stp>DAT</stp>
        <stp>57</stp>
        <tr r="A65" s="1"/>
      </tp>
      <tp t="s">
        <v>19:07:30.217</v>
        <stp/>
        <stp>T&amp;T1</stp>
        <stp>DAT</stp>
        <stp>57</stp>
        <tr r="G65" s="1"/>
      </tp>
      <tp t="s">
        <v>19:06:49.799</v>
        <stp/>
        <stp>T&amp;T0</stp>
        <stp>DAT</stp>
        <stp>56</stp>
        <tr r="A64" s="1"/>
      </tp>
      <tp t="s">
        <v>19:07:30.519</v>
        <stp/>
        <stp>T&amp;T1</stp>
        <stp>DAT</stp>
        <stp>56</stp>
        <tr r="G64" s="1"/>
      </tp>
      <tp t="s">
        <v>19:06:52.028</v>
        <stp/>
        <stp>T&amp;T0</stp>
        <stp>DAT</stp>
        <stp>51</stp>
        <tr r="A59" s="1"/>
      </tp>
      <tp t="s">
        <v>19:07:36.664</v>
        <stp/>
        <stp>T&amp;T1</stp>
        <stp>DAT</stp>
        <stp>51</stp>
        <tr r="G59" s="1"/>
      </tp>
      <tp t="s">
        <v>19:06:52.535</v>
        <stp/>
        <stp>T&amp;T0</stp>
        <stp>DAT</stp>
        <stp>50</stp>
        <tr r="A58" s="1"/>
      </tp>
      <tp t="s">
        <v>19:07:36.664</v>
        <stp/>
        <stp>T&amp;T1</stp>
        <stp>DAT</stp>
        <stp>50</stp>
        <tr r="G58" s="1"/>
      </tp>
      <tp t="s">
        <v>19:06:52.027</v>
        <stp/>
        <stp>T&amp;T0</stp>
        <stp>DAT</stp>
        <stp>53</stp>
        <tr r="A61" s="1"/>
      </tp>
      <tp t="s">
        <v>19:07:35.244</v>
        <stp/>
        <stp>T&amp;T1</stp>
        <stp>DAT</stp>
        <stp>53</stp>
        <tr r="G61" s="1"/>
      </tp>
      <tp t="s">
        <v>19:06:52.028</v>
        <stp/>
        <stp>T&amp;T0</stp>
        <stp>DAT</stp>
        <stp>52</stp>
        <tr r="A60" s="1"/>
      </tp>
      <tp t="s">
        <v>19:07:35.244</v>
        <stp/>
        <stp>T&amp;T1</stp>
        <stp>DAT</stp>
        <stp>52</stp>
        <tr r="G60" s="1"/>
      </tp>
      <tp t="s">
        <v>Comprador</v>
        <stp/>
        <stp>T&amp;T0</stp>
        <stp>AGR</stp>
        <stp>79</stp>
        <tr r="D87" s="1"/>
      </tp>
      <tp t="s">
        <v>Vendedor</v>
        <stp/>
        <stp>T&amp;T1</stp>
        <stp>AGR</stp>
        <stp>79</stp>
        <tr r="J87" s="1"/>
      </tp>
      <tp t="s">
        <v>Comprador</v>
        <stp/>
        <stp>T&amp;T0</stp>
        <stp>AGR</stp>
        <stp>78</stp>
        <tr r="D86" s="1"/>
      </tp>
      <tp t="s">
        <v>Vendedor</v>
        <stp/>
        <stp>T&amp;T1</stp>
        <stp>AGR</stp>
        <stp>78</stp>
        <tr r="J86" s="1"/>
      </tp>
      <tp t="s">
        <v>19:07:49.713</v>
        <stp/>
        <stp>T&amp;T0</stp>
        <stp>DAT</stp>
        <stp>29</stp>
        <tr r="A37" s="1"/>
      </tp>
      <tp t="s">
        <v>19:08:05.324</v>
        <stp/>
        <stp>T&amp;T1</stp>
        <stp>DAT</stp>
        <stp>29</stp>
        <tr r="G37" s="1"/>
      </tp>
      <tp t="s">
        <v>19:07:50.166</v>
        <stp/>
        <stp>T&amp;T0</stp>
        <stp>DAT</stp>
        <stp>28</stp>
        <tr r="A36" s="1"/>
      </tp>
      <tp t="s">
        <v>19:08:06.569</v>
        <stp/>
        <stp>T&amp;T1</stp>
        <stp>DAT</stp>
        <stp>28</stp>
        <tr r="G36" s="1"/>
      </tp>
      <tp t="s">
        <v>19:07:57.244</v>
        <stp/>
        <stp>T&amp;T0</stp>
        <stp>DAT</stp>
        <stp>25</stp>
        <tr r="A33" s="1"/>
      </tp>
      <tp t="s">
        <v>19:08:09.318</v>
        <stp/>
        <stp>T&amp;T1</stp>
        <stp>DAT</stp>
        <stp>25</stp>
        <tr r="G33" s="1"/>
      </tp>
      <tp t="s">
        <v>Comprador</v>
        <stp/>
        <stp>T&amp;T0</stp>
        <stp>AGR</stp>
        <stp>73</stp>
        <tr r="D81" s="1"/>
      </tp>
      <tp t="s">
        <v>Vendedor</v>
        <stp/>
        <stp>T&amp;T1</stp>
        <stp>AGR</stp>
        <stp>73</stp>
        <tr r="J81" s="1"/>
      </tp>
      <tp t="s">
        <v>19:07:57.419</v>
        <stp/>
        <stp>T&amp;T0</stp>
        <stp>DAT</stp>
        <stp>24</stp>
        <tr r="A32" s="1"/>
      </tp>
      <tp t="s">
        <v>19:08:09.318</v>
        <stp/>
        <stp>T&amp;T1</stp>
        <stp>DAT</stp>
        <stp>24</stp>
        <tr r="G32" s="1"/>
      </tp>
      <tp t="s">
        <v>Comprador</v>
        <stp/>
        <stp>T&amp;T0</stp>
        <stp>AGR</stp>
        <stp>72</stp>
        <tr r="D80" s="1"/>
      </tp>
      <tp t="s">
        <v>Vendedor</v>
        <stp/>
        <stp>T&amp;T1</stp>
        <stp>AGR</stp>
        <stp>72</stp>
        <tr r="J80" s="1"/>
      </tp>
      <tp t="s">
        <v>19:07:51.586</v>
        <stp/>
        <stp>T&amp;T0</stp>
        <stp>DAT</stp>
        <stp>27</stp>
        <tr r="A35" s="1"/>
      </tp>
      <tp t="s">
        <v>19:08:06.570</v>
        <stp/>
        <stp>T&amp;T1</stp>
        <stp>DAT</stp>
        <stp>27</stp>
        <tr r="G35" s="1"/>
      </tp>
      <tp t="s">
        <v>Comprador</v>
        <stp/>
        <stp>T&amp;T0</stp>
        <stp>AGR</stp>
        <stp>71</stp>
        <tr r="D79" s="1"/>
      </tp>
      <tp t="s">
        <v>Vendedor</v>
        <stp/>
        <stp>T&amp;T1</stp>
        <stp>AGR</stp>
        <stp>71</stp>
        <tr r="J79" s="1"/>
      </tp>
      <tp t="s">
        <v>19:07:51.920</v>
        <stp/>
        <stp>T&amp;T0</stp>
        <stp>DAT</stp>
        <stp>26</stp>
        <tr r="A34" s="1"/>
      </tp>
      <tp t="s">
        <v>19:08:06.570</v>
        <stp/>
        <stp>T&amp;T1</stp>
        <stp>DAT</stp>
        <stp>26</stp>
        <tr r="G34" s="1"/>
      </tp>
      <tp t="s">
        <v>Comprador</v>
        <stp/>
        <stp>T&amp;T0</stp>
        <stp>AGR</stp>
        <stp>70</stp>
        <tr r="D78" s="1"/>
      </tp>
      <tp t="s">
        <v>Vendedor</v>
        <stp/>
        <stp>T&amp;T1</stp>
        <stp>AGR</stp>
        <stp>70</stp>
        <tr r="J78" s="1"/>
      </tp>
      <tp t="s">
        <v>19:08:03.577</v>
        <stp/>
        <stp>T&amp;T0</stp>
        <stp>DAT</stp>
        <stp>21</stp>
        <tr r="A29" s="1"/>
      </tp>
      <tp t="s">
        <v>19:08:13.947</v>
        <stp/>
        <stp>T&amp;T1</stp>
        <stp>DAT</stp>
        <stp>21</stp>
        <tr r="G29" s="1"/>
      </tp>
      <tp t="s">
        <v>Comprador</v>
        <stp/>
        <stp>T&amp;T0</stp>
        <stp>AGR</stp>
        <stp>77</stp>
        <tr r="D85" s="1"/>
      </tp>
      <tp t="s">
        <v>Vendedor</v>
        <stp/>
        <stp>T&amp;T1</stp>
        <stp>AGR</stp>
        <stp>77</stp>
        <tr r="J85" s="1"/>
      </tp>
      <tp t="s">
        <v>19:08:06.569</v>
        <stp/>
        <stp>T&amp;T0</stp>
        <stp>DAT</stp>
        <stp>20</stp>
        <tr r="A28" s="1"/>
      </tp>
      <tp t="s">
        <v>19:08:14.714</v>
        <stp/>
        <stp>T&amp;T1</stp>
        <stp>DAT</stp>
        <stp>20</stp>
        <tr r="G28" s="1"/>
      </tp>
      <tp t="s">
        <v>Comprador</v>
        <stp/>
        <stp>T&amp;T0</stp>
        <stp>AGR</stp>
        <stp>76</stp>
        <tr r="D84" s="1"/>
      </tp>
      <tp t="s">
        <v>Vendedor</v>
        <stp/>
        <stp>T&amp;T1</stp>
        <stp>AGR</stp>
        <stp>76</stp>
        <tr r="J84" s="1"/>
      </tp>
      <tp t="s">
        <v>19:07:58.807</v>
        <stp/>
        <stp>T&amp;T0</stp>
        <stp>DAT</stp>
        <stp>23</stp>
        <tr r="A31" s="1"/>
      </tp>
      <tp t="s">
        <v>19:08:09.612</v>
        <stp/>
        <stp>T&amp;T1</stp>
        <stp>DAT</stp>
        <stp>23</stp>
        <tr r="G31" s="1"/>
      </tp>
      <tp t="s">
        <v>Comprador</v>
        <stp/>
        <stp>T&amp;T0</stp>
        <stp>AGR</stp>
        <stp>75</stp>
        <tr r="D83" s="1"/>
      </tp>
      <tp t="s">
        <v>Vendedor</v>
        <stp/>
        <stp>T&amp;T1</stp>
        <stp>AGR</stp>
        <stp>75</stp>
        <tr r="J83" s="1"/>
      </tp>
      <tp t="s">
        <v>19:08:02.530</v>
        <stp/>
        <stp>T&amp;T0</stp>
        <stp>DAT</stp>
        <stp>22</stp>
        <tr r="A30" s="1"/>
      </tp>
      <tp t="s">
        <v>19:08:10.031</v>
        <stp/>
        <stp>T&amp;T1</stp>
        <stp>DAT</stp>
        <stp>22</stp>
        <tr r="G30" s="1"/>
      </tp>
      <tp t="s">
        <v>Comprador</v>
        <stp/>
        <stp>T&amp;T0</stp>
        <stp>AGR</stp>
        <stp>74</stp>
        <tr r="D82" s="1"/>
      </tp>
      <tp t="s">
        <v>Vendedor</v>
        <stp/>
        <stp>T&amp;T1</stp>
        <stp>AGR</stp>
        <stp>74</stp>
        <tr r="J82" s="1"/>
      </tp>
      <tp t="s">
        <v>Comprador</v>
        <stp/>
        <stp>T&amp;T0</stp>
        <stp>AGR</stp>
        <stp>69</stp>
        <tr r="D77" s="1"/>
      </tp>
      <tp t="s">
        <v>Vendedor</v>
        <stp/>
        <stp>T&amp;T1</stp>
        <stp>AGR</stp>
        <stp>69</stp>
        <tr r="J77" s="1"/>
      </tp>
      <tp t="s">
        <v>Comprador</v>
        <stp/>
        <stp>T&amp;T0</stp>
        <stp>AGR</stp>
        <stp>68</stp>
        <tr r="D76" s="1"/>
      </tp>
      <tp t="s">
        <v>Vendedor</v>
        <stp/>
        <stp>T&amp;T1</stp>
        <stp>AGR</stp>
        <stp>68</stp>
        <tr r="J76" s="1"/>
      </tp>
      <tp t="s">
        <v>19:07:30.217</v>
        <stp/>
        <stp>T&amp;T0</stp>
        <stp>DAT</stp>
        <stp>39</stp>
        <tr r="A47" s="1"/>
      </tp>
      <tp t="s">
        <v>19:07:51.564</v>
        <stp/>
        <stp>T&amp;T1</stp>
        <stp>DAT</stp>
        <stp>39</stp>
        <tr r="G47" s="1"/>
      </tp>
      <tp t="s">
        <v>19:07:30.350</v>
        <stp/>
        <stp>T&amp;T0</stp>
        <stp>DAT</stp>
        <stp>38</stp>
        <tr r="A46" s="1"/>
      </tp>
      <tp t="s">
        <v>19:07:51.564</v>
        <stp/>
        <stp>T&amp;T1</stp>
        <stp>DAT</stp>
        <stp>38</stp>
        <tr r="G46" s="1"/>
      </tp>
      <tp t="s">
        <v>19:07:38.250</v>
        <stp/>
        <stp>T&amp;T0</stp>
        <stp>DAT</stp>
        <stp>35</stp>
        <tr r="A43" s="1"/>
      </tp>
      <tp t="s">
        <v>19:07:57.418</v>
        <stp/>
        <stp>T&amp;T1</stp>
        <stp>DAT</stp>
        <stp>35</stp>
        <tr r="G43" s="1"/>
      </tp>
      <tp t="s">
        <v>Comprador</v>
        <stp/>
        <stp>T&amp;T0</stp>
        <stp>AGR</stp>
        <stp>63</stp>
        <tr r="D71" s="1"/>
      </tp>
      <tp t="s">
        <v>Vendedor</v>
        <stp/>
        <stp>T&amp;T1</stp>
        <stp>AGR</stp>
        <stp>63</stp>
        <tr r="J71" s="1"/>
      </tp>
      <tp t="s">
        <v>19:07:41.656</v>
        <stp/>
        <stp>T&amp;T0</stp>
        <stp>DAT</stp>
        <stp>34</stp>
        <tr r="A42" s="1"/>
      </tp>
      <tp t="s">
        <v>19:07:57.418</v>
        <stp/>
        <stp>T&amp;T1</stp>
        <stp>DAT</stp>
        <stp>34</stp>
        <tr r="G42" s="1"/>
      </tp>
      <tp t="s">
        <v>Comprador</v>
        <stp/>
        <stp>T&amp;T0</stp>
        <stp>AGR</stp>
        <stp>62</stp>
        <tr r="D70" s="1"/>
      </tp>
      <tp t="s">
        <v>Vendedor</v>
        <stp/>
        <stp>T&amp;T1</stp>
        <stp>AGR</stp>
        <stp>62</stp>
        <tr r="J70" s="1"/>
      </tp>
      <tp t="s">
        <v>19:07:31.220</v>
        <stp/>
        <stp>T&amp;T0</stp>
        <stp>DAT</stp>
        <stp>37</stp>
        <tr r="A45" s="1"/>
      </tp>
      <tp t="s">
        <v>19:07:56.248</v>
        <stp/>
        <stp>T&amp;T1</stp>
        <stp>DAT</stp>
        <stp>37</stp>
        <tr r="G45" s="1"/>
      </tp>
      <tp t="s">
        <v>Comprador</v>
        <stp/>
        <stp>T&amp;T0</stp>
        <stp>AGR</stp>
        <stp>61</stp>
        <tr r="D69" s="1"/>
      </tp>
      <tp t="s">
        <v>Vendedor</v>
        <stp/>
        <stp>T&amp;T1</stp>
        <stp>AGR</stp>
        <stp>61</stp>
        <tr r="J69" s="1"/>
      </tp>
      <tp t="s">
        <v>19:07:36.665</v>
        <stp/>
        <stp>T&amp;T0</stp>
        <stp>DAT</stp>
        <stp>36</stp>
        <tr r="A44" s="1"/>
      </tp>
      <tp t="s">
        <v>19:07:57.245</v>
        <stp/>
        <stp>T&amp;T1</stp>
        <stp>DAT</stp>
        <stp>36</stp>
        <tr r="G44" s="1"/>
      </tp>
      <tp t="s">
        <v>Comprador</v>
        <stp/>
        <stp>T&amp;T0</stp>
        <stp>AGR</stp>
        <stp>60</stp>
        <tr r="D68" s="1"/>
      </tp>
      <tp t="s">
        <v>Vendedor</v>
        <stp/>
        <stp>T&amp;T1</stp>
        <stp>AGR</stp>
        <stp>60</stp>
        <tr r="J68" s="1"/>
      </tp>
      <tp t="s">
        <v>19:07:49.510</v>
        <stp/>
        <stp>T&amp;T0</stp>
        <stp>DAT</stp>
        <stp>31</stp>
        <tr r="A39" s="1"/>
      </tp>
      <tp t="s">
        <v>19:07:59.625</v>
        <stp/>
        <stp>T&amp;T1</stp>
        <stp>DAT</stp>
        <stp>31</stp>
        <tr r="G39" s="1"/>
      </tp>
      <tp t="s">
        <v>Comprador</v>
        <stp/>
        <stp>T&amp;T0</stp>
        <stp>AGR</stp>
        <stp>67</stp>
        <tr r="D75" s="1"/>
      </tp>
      <tp t="s">
        <v>Vendedor</v>
        <stp/>
        <stp>T&amp;T1</stp>
        <stp>AGR</stp>
        <stp>67</stp>
        <tr r="J75" s="1"/>
      </tp>
      <tp t="s">
        <v>19:07:49.662</v>
        <stp/>
        <stp>T&amp;T0</stp>
        <stp>DAT</stp>
        <stp>30</stp>
        <tr r="A38" s="1"/>
      </tp>
      <tp t="s">
        <v>19:08:01.147</v>
        <stp/>
        <stp>T&amp;T1</stp>
        <stp>DAT</stp>
        <stp>30</stp>
        <tr r="G38" s="1"/>
      </tp>
      <tp t="s">
        <v>Comprador</v>
        <stp/>
        <stp>T&amp;T0</stp>
        <stp>AGR</stp>
        <stp>66</stp>
        <tr r="D74" s="1"/>
      </tp>
      <tp t="s">
        <v>Vendedor</v>
        <stp/>
        <stp>T&amp;T1</stp>
        <stp>AGR</stp>
        <stp>66</stp>
        <tr r="J74" s="1"/>
      </tp>
      <tp t="s">
        <v>19:07:49.485</v>
        <stp/>
        <stp>T&amp;T0</stp>
        <stp>DAT</stp>
        <stp>33</stp>
        <tr r="A41" s="1"/>
      </tp>
      <tp t="s">
        <v>19:07:58.761</v>
        <stp/>
        <stp>T&amp;T1</stp>
        <stp>DAT</stp>
        <stp>33</stp>
        <tr r="G41" s="1"/>
      </tp>
      <tp t="s">
        <v>Comprador</v>
        <stp/>
        <stp>T&amp;T0</stp>
        <stp>AGR</stp>
        <stp>65</stp>
        <tr r="D73" s="1"/>
      </tp>
      <tp t="s">
        <v>Vendedor</v>
        <stp/>
        <stp>T&amp;T1</stp>
        <stp>AGR</stp>
        <stp>65</stp>
        <tr r="J73" s="1"/>
      </tp>
      <tp t="s">
        <v>19:07:49.485</v>
        <stp/>
        <stp>T&amp;T0</stp>
        <stp>DAT</stp>
        <stp>32</stp>
        <tr r="A40" s="1"/>
      </tp>
      <tp t="s">
        <v>19:07:59.565</v>
        <stp/>
        <stp>T&amp;T1</stp>
        <stp>DAT</stp>
        <stp>32</stp>
        <tr r="G40" s="1"/>
      </tp>
      <tp t="s">
        <v>Comprador</v>
        <stp/>
        <stp>T&amp;T0</stp>
        <stp>AGR</stp>
        <stp>64</stp>
        <tr r="D72" s="1"/>
      </tp>
      <tp t="s">
        <v>Vendedor</v>
        <stp/>
        <stp>T&amp;T1</stp>
        <stp>AGR</stp>
        <stp>64</stp>
        <tr r="J72" s="1"/>
      </tp>
      <tp t="s">
        <v>Comprador</v>
        <stp/>
        <stp>T&amp;T0</stp>
        <stp>AGR</stp>
        <stp>59</stp>
        <tr r="D67" s="1"/>
      </tp>
      <tp t="s">
        <v>Vendedor</v>
        <stp/>
        <stp>T&amp;T1</stp>
        <stp>AGR</stp>
        <stp>59</stp>
        <tr r="J67" s="1"/>
      </tp>
      <tp t="s">
        <v>Comprador</v>
        <stp/>
        <stp>T&amp;T0</stp>
        <stp>AGR</stp>
        <stp>58</stp>
        <tr r="D66" s="1"/>
      </tp>
      <tp t="s">
        <v>Vendedor</v>
        <stp/>
        <stp>T&amp;T1</stp>
        <stp>AGR</stp>
        <stp>58</stp>
        <tr r="J66" s="1"/>
      </tp>
      <tp t="s">
        <v>Comprador</v>
        <stp/>
        <stp>T&amp;T0</stp>
        <stp>AGR</stp>
        <stp>53</stp>
        <tr r="D61" s="1"/>
      </tp>
      <tp t="s">
        <v>Vendedor</v>
        <stp/>
        <stp>T&amp;T1</stp>
        <stp>AGR</stp>
        <stp>53</stp>
        <tr r="J61" s="1"/>
      </tp>
      <tp t="s">
        <v>Comprador</v>
        <stp/>
        <stp>T&amp;T0</stp>
        <stp>AGR</stp>
        <stp>52</stp>
        <tr r="D60" s="1"/>
      </tp>
      <tp t="s">
        <v>Vendedor</v>
        <stp/>
        <stp>T&amp;T1</stp>
        <stp>AGR</stp>
        <stp>52</stp>
        <tr r="J60" s="1"/>
      </tp>
      <tp t="s">
        <v>Comprador</v>
        <stp/>
        <stp>T&amp;T0</stp>
        <stp>AGR</stp>
        <stp>51</stp>
        <tr r="D59" s="1"/>
      </tp>
      <tp t="s">
        <v>Vendedor</v>
        <stp/>
        <stp>T&amp;T1</stp>
        <stp>AGR</stp>
        <stp>51</stp>
        <tr r="J59" s="1"/>
      </tp>
      <tp t="s">
        <v>Comprador</v>
        <stp/>
        <stp>T&amp;T0</stp>
        <stp>AGR</stp>
        <stp>50</stp>
        <tr r="D58" s="1"/>
      </tp>
      <tp t="s">
        <v>Vendedor</v>
        <stp/>
        <stp>T&amp;T1</stp>
        <stp>AGR</stp>
        <stp>50</stp>
        <tr r="J58" s="1"/>
      </tp>
      <tp t="s">
        <v>Comprador</v>
        <stp/>
        <stp>T&amp;T0</stp>
        <stp>AGR</stp>
        <stp>57</stp>
        <tr r="D65" s="1"/>
      </tp>
      <tp t="s">
        <v>Vendedor</v>
        <stp/>
        <stp>T&amp;T1</stp>
        <stp>AGR</stp>
        <stp>57</stp>
        <tr r="J65" s="1"/>
      </tp>
      <tp t="s">
        <v>Comprador</v>
        <stp/>
        <stp>T&amp;T0</stp>
        <stp>AGR</stp>
        <stp>56</stp>
        <tr r="D64" s="1"/>
      </tp>
      <tp t="s">
        <v>Vendedor</v>
        <stp/>
        <stp>T&amp;T1</stp>
        <stp>AGR</stp>
        <stp>56</stp>
        <tr r="J64" s="1"/>
      </tp>
      <tp t="s">
        <v>Comprador</v>
        <stp/>
        <stp>T&amp;T0</stp>
        <stp>AGR</stp>
        <stp>55</stp>
        <tr r="D63" s="1"/>
      </tp>
      <tp t="s">
        <v>Vendedor</v>
        <stp/>
        <stp>T&amp;T1</stp>
        <stp>AGR</stp>
        <stp>55</stp>
        <tr r="J63" s="1"/>
      </tp>
      <tp t="s">
        <v>Comprador</v>
        <stp/>
        <stp>T&amp;T0</stp>
        <stp>AGR</stp>
        <stp>54</stp>
        <tr r="D62" s="1"/>
      </tp>
      <tp t="s">
        <v>Vendedor</v>
        <stp/>
        <stp>T&amp;T1</stp>
        <stp>AGR</stp>
        <stp>54</stp>
        <tr r="J62" s="1"/>
      </tp>
      <tp t="s">
        <v>Comprador</v>
        <stp/>
        <stp>T&amp;T0</stp>
        <stp>AGR</stp>
        <stp>49</stp>
        <tr r="D57" s="1"/>
      </tp>
      <tp t="s">
        <v>Vendedor</v>
        <stp/>
        <stp>T&amp;T1</stp>
        <stp>AGR</stp>
        <stp>49</stp>
        <tr r="J57" s="1"/>
      </tp>
      <tp t="s">
        <v>Comprador</v>
        <stp/>
        <stp>T&amp;T0</stp>
        <stp>AGR</stp>
        <stp>48</stp>
        <tr r="D56" s="1"/>
      </tp>
      <tp t="s">
        <v>Vendedor</v>
        <stp/>
        <stp>T&amp;T1</stp>
        <stp>AGR</stp>
        <stp>48</stp>
        <tr r="J56" s="1"/>
      </tp>
      <tp t="s">
        <v>19:08:06.569</v>
        <stp/>
        <stp>T&amp;T0</stp>
        <stp>DAT</stp>
        <stp>19</stp>
        <tr r="A27" s="1"/>
      </tp>
      <tp t="s">
        <v>19:08:14.850</v>
        <stp/>
        <stp>T&amp;T1</stp>
        <stp>DAT</stp>
        <stp>19</stp>
        <tr r="G27" s="1"/>
      </tp>
      <tp t="s">
        <v>19:08:06.672</v>
        <stp/>
        <stp>T&amp;T0</stp>
        <stp>DAT</stp>
        <stp>18</stp>
        <tr r="A26" s="1"/>
      </tp>
      <tp t="s">
        <v>19:08:17.046</v>
        <stp/>
        <stp>T&amp;T1</stp>
        <stp>DAT</stp>
        <stp>18</stp>
        <tr r="G26" s="1"/>
      </tp>
      <tp t="s">
        <v>19:08:09.318</v>
        <stp/>
        <stp>T&amp;T0</stp>
        <stp>DAT</stp>
        <stp>15</stp>
        <tr r="A23" s="1"/>
      </tp>
      <tp t="s">
        <v>19:08:19.373</v>
        <stp/>
        <stp>T&amp;T1</stp>
        <stp>DAT</stp>
        <stp>15</stp>
        <tr r="G23" s="1"/>
      </tp>
      <tp t="s">
        <v>Comprador</v>
        <stp/>
        <stp>T&amp;T0</stp>
        <stp>AGR</stp>
        <stp>43</stp>
        <tr r="D51" s="1"/>
      </tp>
      <tp t="s">
        <v>Vendedor</v>
        <stp/>
        <stp>T&amp;T1</stp>
        <stp>AGR</stp>
        <stp>43</stp>
        <tr r="J51" s="1"/>
      </tp>
      <tp t="s">
        <v>19:08:09.319</v>
        <stp/>
        <stp>T&amp;T0</stp>
        <stp>DAT</stp>
        <stp>14</stp>
        <tr r="A22" s="1"/>
      </tp>
      <tp t="s">
        <v>19:08:19.713</v>
        <stp/>
        <stp>T&amp;T1</stp>
        <stp>DAT</stp>
        <stp>14</stp>
        <tr r="G22" s="1"/>
      </tp>
      <tp t="s">
        <v>Comprador</v>
        <stp/>
        <stp>T&amp;T0</stp>
        <stp>AGR</stp>
        <stp>42</stp>
        <tr r="D50" s="1"/>
      </tp>
      <tp t="s">
        <v>Vendedor</v>
        <stp/>
        <stp>T&amp;T1</stp>
        <stp>AGR</stp>
        <stp>42</stp>
        <tr r="J50" s="1"/>
      </tp>
      <tp t="s">
        <v>19:08:07.373</v>
        <stp/>
        <stp>T&amp;T0</stp>
        <stp>DAT</stp>
        <stp>17</stp>
        <tr r="A25" s="1"/>
      </tp>
      <tp t="s">
        <v>19:08:17.550</v>
        <stp/>
        <stp>T&amp;T1</stp>
        <stp>DAT</stp>
        <stp>17</stp>
        <tr r="G25" s="1"/>
      </tp>
      <tp t="s">
        <v>Comprador</v>
        <stp/>
        <stp>T&amp;T0</stp>
        <stp>AGR</stp>
        <stp>41</stp>
        <tr r="D49" s="1"/>
      </tp>
      <tp t="s">
        <v>Vendedor</v>
        <stp/>
        <stp>T&amp;T1</stp>
        <stp>AGR</stp>
        <stp>41</stp>
        <tr r="J49" s="1"/>
      </tp>
      <tp t="s">
        <v>19:08:08.892</v>
        <stp/>
        <stp>T&amp;T0</stp>
        <stp>DAT</stp>
        <stp>16</stp>
        <tr r="A24" s="1"/>
      </tp>
      <tp t="s">
        <v>19:08:17.551</v>
        <stp/>
        <stp>T&amp;T1</stp>
        <stp>DAT</stp>
        <stp>16</stp>
        <tr r="G24" s="1"/>
      </tp>
      <tp t="s">
        <v>Comprador</v>
        <stp/>
        <stp>T&amp;T0</stp>
        <stp>AGR</stp>
        <stp>40</stp>
        <tr r="D48" s="1"/>
      </tp>
      <tp t="s">
        <v>Vendedor</v>
        <stp/>
        <stp>T&amp;T1</stp>
        <stp>AGR</stp>
        <stp>40</stp>
        <tr r="J48" s="1"/>
      </tp>
      <tp t="s">
        <v>19:08:10.612</v>
        <stp/>
        <stp>T&amp;T0</stp>
        <stp>DAT</stp>
        <stp>11</stp>
        <tr r="A19" s="1"/>
      </tp>
      <tp t="s">
        <v>19:08:24.682</v>
        <stp/>
        <stp>T&amp;T1</stp>
        <stp>DAT</stp>
        <stp>11</stp>
        <tr r="G19" s="1"/>
      </tp>
      <tp t="s">
        <v>Comprador</v>
        <stp/>
        <stp>T&amp;T0</stp>
        <stp>AGR</stp>
        <stp>47</stp>
        <tr r="D55" s="1"/>
      </tp>
      <tp t="s">
        <v>Vendedor</v>
        <stp/>
        <stp>T&amp;T1</stp>
        <stp>AGR</stp>
        <stp>47</stp>
        <tr r="J55" s="1"/>
      </tp>
      <tp t="s">
        <v>19:08:19.372</v>
        <stp/>
        <stp>T&amp;T0</stp>
        <stp>DAT</stp>
        <stp>10</stp>
        <tr r="A18" s="1"/>
      </tp>
      <tp t="s">
        <v>19:08:25.223</v>
        <stp/>
        <stp>T&amp;T1</stp>
        <stp>DAT</stp>
        <stp>10</stp>
        <tr r="G18" s="1"/>
      </tp>
      <tp t="s">
        <v>Comprador</v>
        <stp/>
        <stp>T&amp;T0</stp>
        <stp>AGR</stp>
        <stp>46</stp>
        <tr r="D54" s="1"/>
      </tp>
      <tp t="s">
        <v>Vendedor</v>
        <stp/>
        <stp>T&amp;T1</stp>
        <stp>AGR</stp>
        <stp>46</stp>
        <tr r="J54" s="1"/>
      </tp>
      <tp t="s">
        <v>19:08:10.160</v>
        <stp/>
        <stp>T&amp;T0</stp>
        <stp>DAT</stp>
        <stp>13</stp>
        <tr r="A21" s="1"/>
      </tp>
      <tp t="s">
        <v>19:08:20.714</v>
        <stp/>
        <stp>T&amp;T1</stp>
        <stp>DAT</stp>
        <stp>13</stp>
        <tr r="G21" s="1"/>
      </tp>
      <tp t="s">
        <v>Comprador</v>
        <stp/>
        <stp>T&amp;T0</stp>
        <stp>AGR</stp>
        <stp>45</stp>
        <tr r="D53" s="1"/>
      </tp>
      <tp t="s">
        <v>Vendedor</v>
        <stp/>
        <stp>T&amp;T1</stp>
        <stp>AGR</stp>
        <stp>45</stp>
        <tr r="J53" s="1"/>
      </tp>
      <tp t="s">
        <v>19:08:10.160</v>
        <stp/>
        <stp>T&amp;T0</stp>
        <stp>DAT</stp>
        <stp>12</stp>
        <tr r="A20" s="1"/>
      </tp>
      <tp t="s">
        <v>19:08:20.715</v>
        <stp/>
        <stp>T&amp;T1</stp>
        <stp>DAT</stp>
        <stp>12</stp>
        <tr r="G20" s="1"/>
      </tp>
      <tp t="s">
        <v>Comprador</v>
        <stp/>
        <stp>T&amp;T0</stp>
        <stp>AGR</stp>
        <stp>44</stp>
        <tr r="D52" s="1"/>
      </tp>
      <tp t="s">
        <v>Vendedor</v>
        <stp/>
        <stp>T&amp;T1</stp>
        <stp>AGR</stp>
        <stp>44</stp>
        <tr r="J5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90F8F-7D5D-4521-914C-2A3F4650DB40}">
  <sheetPr codeName="Planilha1"/>
  <dimension ref="A1:Z3011"/>
  <sheetViews>
    <sheetView showGridLines="0" tabSelected="1" topLeftCell="A2" workbookViewId="0">
      <selection activeCell="E498" sqref="E2:E498"/>
    </sheetView>
  </sheetViews>
  <sheetFormatPr defaultRowHeight="15" x14ac:dyDescent="0.25"/>
  <cols>
    <col min="1" max="6" width="18.7109375" customWidth="1"/>
    <col min="7" max="7" width="18.7109375" style="20" customWidth="1"/>
    <col min="8" max="11" width="18.7109375" customWidth="1"/>
  </cols>
  <sheetData>
    <row r="1" spans="1:26" x14ac:dyDescent="0.25">
      <c r="A1" s="17" t="s">
        <v>4</v>
      </c>
      <c r="B1" s="6" t="s">
        <v>0</v>
      </c>
      <c r="C1" s="6" t="s">
        <v>5</v>
      </c>
      <c r="D1" s="6" t="s">
        <v>6</v>
      </c>
      <c r="E1" s="6" t="s">
        <v>7</v>
      </c>
      <c r="F1" s="6" t="s">
        <v>8</v>
      </c>
      <c r="G1" s="21" t="s">
        <v>9</v>
      </c>
      <c r="H1" s="7" t="s">
        <v>10</v>
      </c>
      <c r="I1" s="6" t="s">
        <v>11</v>
      </c>
      <c r="J1" s="6" t="s">
        <v>12</v>
      </c>
      <c r="K1" s="8" t="s">
        <v>13</v>
      </c>
      <c r="Z1">
        <v>12402</v>
      </c>
    </row>
    <row r="2" spans="1:26" s="1" customFormat="1" ht="15.75" thickBot="1" x14ac:dyDescent="0.3">
      <c r="A2" s="18" t="s">
        <v>18</v>
      </c>
      <c r="B2" s="9" t="str">
        <f>RTD("rtdtrading.rtdserver",, "ESM6_M_0", "DAT")</f>
        <v>07/05/2026</v>
      </c>
      <c r="C2" s="10">
        <f>RTD("rtdtrading.rtdserver",, "ESM6_M_0", "ULT")</f>
        <v>7345.75</v>
      </c>
      <c r="D2" s="11">
        <f>RTD("rtdtrading.rtdserver",, "ESM6_M_0", "ABE")</f>
        <v>7340</v>
      </c>
      <c r="E2" s="12">
        <f>RTD("rtdtrading.rtdserver",, "ESM6_M_0", "MAX")</f>
        <v>7350.25</v>
      </c>
      <c r="F2" s="12">
        <f>RTD("rtdtrading.rtdserver",, "ESM6_M_0", "MIN")</f>
        <v>7336.25</v>
      </c>
      <c r="G2" s="13">
        <f>RTD("rtdtrading.rtdserver",, "ESM6_M_0", "FEC")</f>
        <v>7352.25</v>
      </c>
      <c r="H2" s="14">
        <f>RTD("rtdtrading.rtdserver",, "ESM6_M_0", "VAR")</f>
        <v>-8.8408310381175831E-2</v>
      </c>
      <c r="I2" s="15">
        <f>RTD("rtdtrading.rtdserver",, "ESM6_M_0", "AJA")</f>
        <v>7363</v>
      </c>
      <c r="J2" s="13" t="str">
        <f>RTD("rtdtrading.rtdserver",, "ESM6_M_0", "100")</f>
        <v>-346</v>
      </c>
      <c r="K2" s="16" t="str">
        <f>RTD("rtdtrading.rtdserver",, "ESM6_M_0", "67")</f>
        <v>7.344,08</v>
      </c>
      <c r="Z2" s="4" t="s">
        <v>17</v>
      </c>
    </row>
    <row r="3" spans="1:26" x14ac:dyDescent="0.25">
      <c r="Z3" s="5">
        <v>12490</v>
      </c>
    </row>
    <row r="4" spans="1:26" ht="15.75" thickBot="1" x14ac:dyDescent="0.3">
      <c r="G4"/>
      <c r="Z4" t="s">
        <v>16</v>
      </c>
    </row>
    <row r="5" spans="1:26" ht="15.75" thickBot="1" x14ac:dyDescent="0.3">
      <c r="A5" s="47" t="s">
        <v>14</v>
      </c>
      <c r="B5" s="48"/>
      <c r="C5" s="48"/>
      <c r="D5" s="49"/>
      <c r="G5" s="50" t="s">
        <v>15</v>
      </c>
      <c r="H5" s="51"/>
      <c r="I5" s="51"/>
      <c r="J5" s="52"/>
      <c r="Z5">
        <v>0</v>
      </c>
    </row>
    <row r="6" spans="1:26" x14ac:dyDescent="0.25">
      <c r="A6" s="23" t="str">
        <f>RTD("rtdtrading.rtdserver",, "T&amp;T0", "INFO", "ATV")</f>
        <v>ESM6</v>
      </c>
      <c r="B6" s="24" t="str">
        <f>RTD("rtdtrading.rtdserver",, "T&amp;T0", "INFO", "TAB")</f>
        <v>Negócios</v>
      </c>
      <c r="C6" s="24"/>
      <c r="D6" s="24"/>
      <c r="G6" s="32" t="str">
        <f>RTD("rtdtrading.rtdserver",, "T&amp;T1", "INFO", "ATV")</f>
        <v>ESM6</v>
      </c>
      <c r="H6" s="33" t="str">
        <f>RTD("rtdtrading.rtdserver",, "T&amp;T1", "INFO", "TAB")</f>
        <v>Negócios</v>
      </c>
      <c r="I6" s="33"/>
      <c r="J6" s="46"/>
    </row>
    <row r="7" spans="1:26" x14ac:dyDescent="0.25">
      <c r="A7" s="25" t="s">
        <v>0</v>
      </c>
      <c r="B7" s="26" t="s">
        <v>1</v>
      </c>
      <c r="C7" s="26" t="s">
        <v>2</v>
      </c>
      <c r="D7" s="26" t="s">
        <v>3</v>
      </c>
      <c r="G7" s="34" t="s">
        <v>0</v>
      </c>
      <c r="H7" s="31" t="s">
        <v>1</v>
      </c>
      <c r="I7" s="31" t="s">
        <v>2</v>
      </c>
      <c r="J7" s="35" t="s">
        <v>3</v>
      </c>
    </row>
    <row r="8" spans="1:26" x14ac:dyDescent="0.25">
      <c r="A8" s="44" t="str">
        <f>RTD("rtdtrading.rtdserver",, "T&amp;T0", "DAT", 0)</f>
        <v>19:08:30.210</v>
      </c>
      <c r="B8" s="27">
        <f>RTD("rtdtrading.rtdserver",, "T&amp;T0", "PRE", 0)</f>
        <v>7345.75</v>
      </c>
      <c r="C8" s="28">
        <f>RTD("rtdtrading.rtdserver",, "T&amp;T0", "QUL", 0)</f>
        <v>1</v>
      </c>
      <c r="D8" s="28" t="str">
        <f>RTD("rtdtrading.rtdserver",, "T&amp;T0", "AGR", 0)</f>
        <v>Comprador</v>
      </c>
      <c r="F8" s="20"/>
      <c r="G8" s="36" t="str">
        <f>RTD("rtdtrading.rtdserver",, "T&amp;T1", "DAT", 0)</f>
        <v>19:08:32.486</v>
      </c>
      <c r="H8" s="37">
        <f>RTD("rtdtrading.rtdserver",, "T&amp;T1", "PRE", 0)</f>
        <v>7345.75</v>
      </c>
      <c r="I8" s="38">
        <f>RTD("rtdtrading.rtdserver",, "T&amp;T1", "QUL", 0)</f>
        <v>1</v>
      </c>
      <c r="J8" s="39" t="str">
        <f>RTD("rtdtrading.rtdserver",, "T&amp;T1", "AGR", 0)</f>
        <v>Vendedor</v>
      </c>
    </row>
    <row r="9" spans="1:26" x14ac:dyDescent="0.25">
      <c r="A9" s="44" t="str">
        <f>RTD("rtdtrading.rtdserver",, "T&amp;T0", "DAT", 1)</f>
        <v>19:08:28.533</v>
      </c>
      <c r="B9" s="27">
        <f>RTD("rtdtrading.rtdserver",, "T&amp;T0", "PRE", 1)</f>
        <v>7346</v>
      </c>
      <c r="C9" s="28">
        <f>RTD("rtdtrading.rtdserver",, "T&amp;T0", "QUL", 1)</f>
        <v>1</v>
      </c>
      <c r="D9" s="28" t="str">
        <f>RTD("rtdtrading.rtdserver",, "T&amp;T0", "AGR", 1)</f>
        <v>Comprador</v>
      </c>
      <c r="G9" s="36" t="str">
        <f>RTD("rtdtrading.rtdserver",, "T&amp;T1", "DAT", 1)</f>
        <v>19:08:30.283</v>
      </c>
      <c r="H9" s="37">
        <f>RTD("rtdtrading.rtdserver",, "T&amp;T1", "PRE", 1)</f>
        <v>7345.75</v>
      </c>
      <c r="I9" s="38">
        <f>RTD("rtdtrading.rtdserver",, "T&amp;T1", "QUL", 1)</f>
        <v>1</v>
      </c>
      <c r="J9" s="39" t="str">
        <f>RTD("rtdtrading.rtdserver",, "T&amp;T1", "AGR", 1)</f>
        <v>Vendedor</v>
      </c>
      <c r="L9" s="2"/>
    </row>
    <row r="10" spans="1:26" x14ac:dyDescent="0.25">
      <c r="A10" s="44" t="str">
        <f>RTD("rtdtrading.rtdserver",, "T&amp;T0", "DAT", 2)</f>
        <v>19:08:25.990</v>
      </c>
      <c r="B10" s="27">
        <f>RTD("rtdtrading.rtdserver",, "T&amp;T0", "PRE", 2)</f>
        <v>7346</v>
      </c>
      <c r="C10" s="28">
        <f>RTD("rtdtrading.rtdserver",, "T&amp;T0", "QUL", 2)</f>
        <v>6</v>
      </c>
      <c r="D10" s="28" t="str">
        <f>RTD("rtdtrading.rtdserver",, "T&amp;T0", "AGR", 2)</f>
        <v>Comprador</v>
      </c>
      <c r="G10" s="36" t="str">
        <f>RTD("rtdtrading.rtdserver",, "T&amp;T1", "DAT", 2)</f>
        <v>19:08:30.282</v>
      </c>
      <c r="H10" s="37">
        <f>RTD("rtdtrading.rtdserver",, "T&amp;T1", "PRE", 2)</f>
        <v>7345.75</v>
      </c>
      <c r="I10" s="38">
        <f>RTD("rtdtrading.rtdserver",, "T&amp;T1", "QUL", 2)</f>
        <v>1</v>
      </c>
      <c r="J10" s="39" t="str">
        <f>RTD("rtdtrading.rtdserver",, "T&amp;T1", "AGR", 2)</f>
        <v>Vendedor</v>
      </c>
    </row>
    <row r="11" spans="1:26" x14ac:dyDescent="0.25">
      <c r="A11" s="44" t="str">
        <f>RTD("rtdtrading.rtdserver",, "T&amp;T0", "DAT", 3)</f>
        <v>19:08:25.990</v>
      </c>
      <c r="B11" s="27">
        <f>RTD("rtdtrading.rtdserver",, "T&amp;T0", "PRE", 3)</f>
        <v>7346</v>
      </c>
      <c r="C11" s="28">
        <f>RTD("rtdtrading.rtdserver",, "T&amp;T0", "QUL", 3)</f>
        <v>3</v>
      </c>
      <c r="D11" s="28" t="str">
        <f>RTD("rtdtrading.rtdserver",, "T&amp;T0", "AGR", 3)</f>
        <v>Comprador</v>
      </c>
      <c r="G11" s="36" t="str">
        <f>RTD("rtdtrading.rtdserver",, "T&amp;T1", "DAT", 3)</f>
        <v>19:08:30.210</v>
      </c>
      <c r="H11" s="37">
        <f>RTD("rtdtrading.rtdserver",, "T&amp;T1", "PRE", 3)</f>
        <v>7345.75</v>
      </c>
      <c r="I11" s="38">
        <f>RTD("rtdtrading.rtdserver",, "T&amp;T1", "QUL", 3)</f>
        <v>2</v>
      </c>
      <c r="J11" s="39" t="str">
        <f>RTD("rtdtrading.rtdserver",, "T&amp;T1", "AGR", 3)</f>
        <v>Vendedor</v>
      </c>
    </row>
    <row r="12" spans="1:26" x14ac:dyDescent="0.25">
      <c r="A12" s="44" t="str">
        <f>RTD("rtdtrading.rtdserver",, "T&amp;T0", "DAT", 4)</f>
        <v>19:08:25.990</v>
      </c>
      <c r="B12" s="27">
        <f>RTD("rtdtrading.rtdserver",, "T&amp;T0", "PRE", 4)</f>
        <v>7346</v>
      </c>
      <c r="C12" s="28">
        <f>RTD("rtdtrading.rtdserver",, "T&amp;T0", "QUL", 4)</f>
        <v>2</v>
      </c>
      <c r="D12" s="28" t="str">
        <f>RTD("rtdtrading.rtdserver",, "T&amp;T0", "AGR", 4)</f>
        <v>Comprador</v>
      </c>
      <c r="G12" s="36" t="str">
        <f>RTD("rtdtrading.rtdserver",, "T&amp;T1", "DAT", 4)</f>
        <v>19:08:29.410</v>
      </c>
      <c r="H12" s="37">
        <f>RTD("rtdtrading.rtdserver",, "T&amp;T1", "PRE", 4)</f>
        <v>7345.75</v>
      </c>
      <c r="I12" s="38">
        <f>RTD("rtdtrading.rtdserver",, "T&amp;T1", "QUL", 4)</f>
        <v>1</v>
      </c>
      <c r="J12" s="39" t="str">
        <f>RTD("rtdtrading.rtdserver",, "T&amp;T1", "AGR", 4)</f>
        <v>Vendedor</v>
      </c>
    </row>
    <row r="13" spans="1:26" x14ac:dyDescent="0.25">
      <c r="A13" s="44" t="str">
        <f>RTD("rtdtrading.rtdserver",, "T&amp;T0", "DAT", 5)</f>
        <v>19:08:25.245</v>
      </c>
      <c r="B13" s="27">
        <f>RTD("rtdtrading.rtdserver",, "T&amp;T0", "PRE", 5)</f>
        <v>7346</v>
      </c>
      <c r="C13" s="28">
        <f>RTD("rtdtrading.rtdserver",, "T&amp;T0", "QUL", 5)</f>
        <v>2</v>
      </c>
      <c r="D13" s="28" t="str">
        <f>RTD("rtdtrading.rtdserver",, "T&amp;T0", "AGR", 5)</f>
        <v>Comprador</v>
      </c>
      <c r="G13" s="36" t="str">
        <f>RTD("rtdtrading.rtdserver",, "T&amp;T1", "DAT", 5)</f>
        <v>19:08:27.587</v>
      </c>
      <c r="H13" s="37">
        <f>RTD("rtdtrading.rtdserver",, "T&amp;T1", "PRE", 5)</f>
        <v>7345.75</v>
      </c>
      <c r="I13" s="38">
        <f>RTD("rtdtrading.rtdserver",, "T&amp;T1", "QUL", 5)</f>
        <v>1</v>
      </c>
      <c r="J13" s="39" t="str">
        <f>RTD("rtdtrading.rtdserver",, "T&amp;T1", "AGR", 5)</f>
        <v>Vendedor</v>
      </c>
    </row>
    <row r="14" spans="1:26" x14ac:dyDescent="0.25">
      <c r="A14" s="44" t="str">
        <f>RTD("rtdtrading.rtdserver",, "T&amp;T0", "DAT", 6)</f>
        <v>19:08:20.860</v>
      </c>
      <c r="B14" s="27">
        <f>RTD("rtdtrading.rtdserver",, "T&amp;T0", "PRE", 6)</f>
        <v>7346.25</v>
      </c>
      <c r="C14" s="28">
        <f>RTD("rtdtrading.rtdserver",, "T&amp;T0", "QUL", 6)</f>
        <v>1</v>
      </c>
      <c r="D14" s="28" t="str">
        <f>RTD("rtdtrading.rtdserver",, "T&amp;T0", "AGR", 6)</f>
        <v>Comprador</v>
      </c>
      <c r="G14" s="36" t="str">
        <f>RTD("rtdtrading.rtdserver",, "T&amp;T1", "DAT", 6)</f>
        <v>19:08:27.587</v>
      </c>
      <c r="H14" s="37">
        <f>RTD("rtdtrading.rtdserver",, "T&amp;T1", "PRE", 6)</f>
        <v>7345.75</v>
      </c>
      <c r="I14" s="38">
        <f>RTD("rtdtrading.rtdserver",, "T&amp;T1", "QUL", 6)</f>
        <v>2</v>
      </c>
      <c r="J14" s="39" t="str">
        <f>RTD("rtdtrading.rtdserver",, "T&amp;T1", "AGR", 6)</f>
        <v>Vendedor</v>
      </c>
    </row>
    <row r="15" spans="1:26" x14ac:dyDescent="0.25">
      <c r="A15" s="44" t="str">
        <f>RTD("rtdtrading.rtdserver",, "T&amp;T0", "DAT", 7)</f>
        <v>19:08:20.715</v>
      </c>
      <c r="B15" s="27">
        <f>RTD("rtdtrading.rtdserver",, "T&amp;T0", "PRE", 7)</f>
        <v>7346.25</v>
      </c>
      <c r="C15" s="28">
        <f>RTD("rtdtrading.rtdserver",, "T&amp;T0", "QUL", 7)</f>
        <v>1</v>
      </c>
      <c r="D15" s="28" t="str">
        <f>RTD("rtdtrading.rtdserver",, "T&amp;T0", "AGR", 7)</f>
        <v>Comprador</v>
      </c>
      <c r="G15" s="36" t="str">
        <f>RTD("rtdtrading.rtdserver",, "T&amp;T1", "DAT", 7)</f>
        <v>19:08:27.587</v>
      </c>
      <c r="H15" s="37">
        <f>RTD("rtdtrading.rtdserver",, "T&amp;T1", "PRE", 7)</f>
        <v>7345.75</v>
      </c>
      <c r="I15" s="38">
        <f>RTD("rtdtrading.rtdserver",, "T&amp;T1", "QUL", 7)</f>
        <v>7</v>
      </c>
      <c r="J15" s="39" t="str">
        <f>RTD("rtdtrading.rtdserver",, "T&amp;T1", "AGR", 7)</f>
        <v>Vendedor</v>
      </c>
    </row>
    <row r="16" spans="1:26" x14ac:dyDescent="0.25">
      <c r="A16" s="44" t="str">
        <f>RTD("rtdtrading.rtdserver",, "T&amp;T0", "DAT", 8)</f>
        <v>19:08:20.714</v>
      </c>
      <c r="B16" s="27">
        <f>RTD("rtdtrading.rtdserver",, "T&amp;T0", "PRE", 8)</f>
        <v>7346.25</v>
      </c>
      <c r="C16" s="28">
        <f>RTD("rtdtrading.rtdserver",, "T&amp;T0", "QUL", 8)</f>
        <v>7</v>
      </c>
      <c r="D16" s="28" t="str">
        <f>RTD("rtdtrading.rtdserver",, "T&amp;T0", "AGR", 8)</f>
        <v>Comprador</v>
      </c>
      <c r="G16" s="36" t="str">
        <f>RTD("rtdtrading.rtdserver",, "T&amp;T1", "DAT", 8)</f>
        <v>19:08:25.585</v>
      </c>
      <c r="H16" s="37">
        <f>RTD("rtdtrading.rtdserver",, "T&amp;T1", "PRE", 8)</f>
        <v>7346</v>
      </c>
      <c r="I16" s="38">
        <f>RTD("rtdtrading.rtdserver",, "T&amp;T1", "QUL", 8)</f>
        <v>2</v>
      </c>
      <c r="J16" s="39" t="str">
        <f>RTD("rtdtrading.rtdserver",, "T&amp;T1", "AGR", 8)</f>
        <v>Vendedor</v>
      </c>
    </row>
    <row r="17" spans="1:13" x14ac:dyDescent="0.25">
      <c r="A17" s="44" t="str">
        <f>RTD("rtdtrading.rtdserver",, "T&amp;T0", "DAT", 9)</f>
        <v>19:08:19.372</v>
      </c>
      <c r="B17" s="27">
        <f>RTD("rtdtrading.rtdserver",, "T&amp;T0", "PRE", 9)</f>
        <v>7346</v>
      </c>
      <c r="C17" s="28">
        <f>RTD("rtdtrading.rtdserver",, "T&amp;T0", "QUL", 9)</f>
        <v>1</v>
      </c>
      <c r="D17" s="28" t="str">
        <f>RTD("rtdtrading.rtdserver",, "T&amp;T0", "AGR", 9)</f>
        <v>Comprador</v>
      </c>
      <c r="G17" s="36" t="str">
        <f>RTD("rtdtrading.rtdserver",, "T&amp;T1", "DAT", 9)</f>
        <v>19:08:25.245</v>
      </c>
      <c r="H17" s="37">
        <f>RTD("rtdtrading.rtdserver",, "T&amp;T1", "PRE", 9)</f>
        <v>7346</v>
      </c>
      <c r="I17" s="38">
        <f>RTD("rtdtrading.rtdserver",, "T&amp;T1", "QUL", 9)</f>
        <v>1</v>
      </c>
      <c r="J17" s="39" t="str">
        <f>RTD("rtdtrading.rtdserver",, "T&amp;T1", "AGR", 9)</f>
        <v>Vendedor</v>
      </c>
    </row>
    <row r="18" spans="1:13" x14ac:dyDescent="0.25">
      <c r="A18" s="44" t="str">
        <f>RTD("rtdtrading.rtdserver",, "T&amp;T0", "DAT", 10)</f>
        <v>19:08:19.372</v>
      </c>
      <c r="B18" s="27">
        <f>RTD("rtdtrading.rtdserver",, "T&amp;T0", "PRE", 10)</f>
        <v>7346</v>
      </c>
      <c r="C18" s="28">
        <f>RTD("rtdtrading.rtdserver",, "T&amp;T0", "QUL", 10)</f>
        <v>10</v>
      </c>
      <c r="D18" s="28" t="str">
        <f>RTD("rtdtrading.rtdserver",, "T&amp;T0", "AGR", 10)</f>
        <v>Comprador</v>
      </c>
      <c r="G18" s="36" t="str">
        <f>RTD("rtdtrading.rtdserver",, "T&amp;T1", "DAT", 10)</f>
        <v>19:08:25.223</v>
      </c>
      <c r="H18" s="37">
        <f>RTD("rtdtrading.rtdserver",, "T&amp;T1", "PRE", 10)</f>
        <v>7346</v>
      </c>
      <c r="I18" s="38">
        <f>RTD("rtdtrading.rtdserver",, "T&amp;T1", "QUL", 10)</f>
        <v>3</v>
      </c>
      <c r="J18" s="39" t="str">
        <f>RTD("rtdtrading.rtdserver",, "T&amp;T1", "AGR", 10)</f>
        <v>Vendedor</v>
      </c>
    </row>
    <row r="19" spans="1:13" x14ac:dyDescent="0.25">
      <c r="A19" s="44" t="str">
        <f>RTD("rtdtrading.rtdserver",, "T&amp;T0", "DAT", 11)</f>
        <v>19:08:10.612</v>
      </c>
      <c r="B19" s="27">
        <f>RTD("rtdtrading.rtdserver",, "T&amp;T0", "PRE", 11)</f>
        <v>7346.25</v>
      </c>
      <c r="C19" s="28">
        <f>RTD("rtdtrading.rtdserver",, "T&amp;T0", "QUL", 11)</f>
        <v>1</v>
      </c>
      <c r="D19" s="28" t="str">
        <f>RTD("rtdtrading.rtdserver",, "T&amp;T0", "AGR", 11)</f>
        <v>Comprador</v>
      </c>
      <c r="G19" s="36" t="str">
        <f>RTD("rtdtrading.rtdserver",, "T&amp;T1", "DAT", 11)</f>
        <v>19:08:24.682</v>
      </c>
      <c r="H19" s="37">
        <f>RTD("rtdtrading.rtdserver",, "T&amp;T1", "PRE", 11)</f>
        <v>7346.25</v>
      </c>
      <c r="I19" s="38">
        <f>RTD("rtdtrading.rtdserver",, "T&amp;T1", "QUL", 11)</f>
        <v>13</v>
      </c>
      <c r="J19" s="39" t="str">
        <f>RTD("rtdtrading.rtdserver",, "T&amp;T1", "AGR", 11)</f>
        <v>Vendedor</v>
      </c>
      <c r="M19" s="2"/>
    </row>
    <row r="20" spans="1:13" x14ac:dyDescent="0.25">
      <c r="A20" s="44" t="str">
        <f>RTD("rtdtrading.rtdserver",, "T&amp;T0", "DAT", 12)</f>
        <v>19:08:10.160</v>
      </c>
      <c r="B20" s="27">
        <f>RTD("rtdtrading.rtdserver",, "T&amp;T0", "PRE", 12)</f>
        <v>7346</v>
      </c>
      <c r="C20" s="28">
        <f>RTD("rtdtrading.rtdserver",, "T&amp;T0", "QUL", 12)</f>
        <v>3</v>
      </c>
      <c r="D20" s="28" t="str">
        <f>RTD("rtdtrading.rtdserver",, "T&amp;T0", "AGR", 12)</f>
        <v>Comprador</v>
      </c>
      <c r="G20" s="36" t="str">
        <f>RTD("rtdtrading.rtdserver",, "T&amp;T1", "DAT", 12)</f>
        <v>19:08:20.715</v>
      </c>
      <c r="H20" s="37">
        <f>RTD("rtdtrading.rtdserver",, "T&amp;T1", "PRE", 12)</f>
        <v>7346.25</v>
      </c>
      <c r="I20" s="38">
        <f>RTD("rtdtrading.rtdserver",, "T&amp;T1", "QUL", 12)</f>
        <v>1</v>
      </c>
      <c r="J20" s="39" t="str">
        <f>RTD("rtdtrading.rtdserver",, "T&amp;T1", "AGR", 12)</f>
        <v>Vendedor</v>
      </c>
    </row>
    <row r="21" spans="1:13" x14ac:dyDescent="0.25">
      <c r="A21" s="44" t="str">
        <f>RTD("rtdtrading.rtdserver",, "T&amp;T0", "DAT", 13)</f>
        <v>19:08:10.160</v>
      </c>
      <c r="B21" s="27">
        <f>RTD("rtdtrading.rtdserver",, "T&amp;T0", "PRE", 13)</f>
        <v>7346</v>
      </c>
      <c r="C21" s="28">
        <f>RTD("rtdtrading.rtdserver",, "T&amp;T0", "QUL", 13)</f>
        <v>3</v>
      </c>
      <c r="D21" s="28" t="str">
        <f>RTD("rtdtrading.rtdserver",, "T&amp;T0", "AGR", 13)</f>
        <v>Comprador</v>
      </c>
      <c r="G21" s="36" t="str">
        <f>RTD("rtdtrading.rtdserver",, "T&amp;T1", "DAT", 13)</f>
        <v>19:08:20.714</v>
      </c>
      <c r="H21" s="37">
        <f>RTD("rtdtrading.rtdserver",, "T&amp;T1", "PRE", 13)</f>
        <v>7346.25</v>
      </c>
      <c r="I21" s="38">
        <f>RTD("rtdtrading.rtdserver",, "T&amp;T1", "QUL", 13)</f>
        <v>1</v>
      </c>
      <c r="J21" s="39" t="str">
        <f>RTD("rtdtrading.rtdserver",, "T&amp;T1", "AGR", 13)</f>
        <v>Vendedor</v>
      </c>
    </row>
    <row r="22" spans="1:13" x14ac:dyDescent="0.25">
      <c r="A22" s="44" t="str">
        <f>RTD("rtdtrading.rtdserver",, "T&amp;T0", "DAT", 14)</f>
        <v>19:08:09.319</v>
      </c>
      <c r="B22" s="27">
        <f>RTD("rtdtrading.rtdserver",, "T&amp;T0", "PRE", 14)</f>
        <v>7346</v>
      </c>
      <c r="C22" s="28">
        <f>RTD("rtdtrading.rtdserver",, "T&amp;T0", "QUL", 14)</f>
        <v>1</v>
      </c>
      <c r="D22" s="28" t="str">
        <f>RTD("rtdtrading.rtdserver",, "T&amp;T0", "AGR", 14)</f>
        <v>Comprador</v>
      </c>
      <c r="G22" s="36" t="str">
        <f>RTD("rtdtrading.rtdserver",, "T&amp;T1", "DAT", 14)</f>
        <v>19:08:19.713</v>
      </c>
      <c r="H22" s="37">
        <f>RTD("rtdtrading.rtdserver",, "T&amp;T1", "PRE", 14)</f>
        <v>7346</v>
      </c>
      <c r="I22" s="38">
        <f>RTD("rtdtrading.rtdserver",, "T&amp;T1", "QUL", 14)</f>
        <v>1</v>
      </c>
      <c r="J22" s="39" t="str">
        <f>RTD("rtdtrading.rtdserver",, "T&amp;T1", "AGR", 14)</f>
        <v>Vendedor</v>
      </c>
    </row>
    <row r="23" spans="1:13" x14ac:dyDescent="0.25">
      <c r="A23" s="44" t="str">
        <f>RTD("rtdtrading.rtdserver",, "T&amp;T0", "DAT", 15)</f>
        <v>19:08:09.318</v>
      </c>
      <c r="B23" s="27">
        <f>RTD("rtdtrading.rtdserver",, "T&amp;T0", "PRE", 15)</f>
        <v>7346</v>
      </c>
      <c r="C23" s="28">
        <f>RTD("rtdtrading.rtdserver",, "T&amp;T0", "QUL", 15)</f>
        <v>1</v>
      </c>
      <c r="D23" s="28" t="str">
        <f>RTD("rtdtrading.rtdserver",, "T&amp;T0", "AGR", 15)</f>
        <v>Comprador</v>
      </c>
      <c r="G23" s="36" t="str">
        <f>RTD("rtdtrading.rtdserver",, "T&amp;T1", "DAT", 15)</f>
        <v>19:08:19.373</v>
      </c>
      <c r="H23" s="37">
        <f>RTD("rtdtrading.rtdserver",, "T&amp;T1", "PRE", 15)</f>
        <v>7346</v>
      </c>
      <c r="I23" s="38">
        <f>RTD("rtdtrading.rtdserver",, "T&amp;T1", "QUL", 15)</f>
        <v>1</v>
      </c>
      <c r="J23" s="39" t="str">
        <f>RTD("rtdtrading.rtdserver",, "T&amp;T1", "AGR", 15)</f>
        <v>Vendedor</v>
      </c>
    </row>
    <row r="24" spans="1:13" x14ac:dyDescent="0.25">
      <c r="A24" s="44" t="str">
        <f>RTD("rtdtrading.rtdserver",, "T&amp;T0", "DAT", 16)</f>
        <v>19:08:08.892</v>
      </c>
      <c r="B24" s="27">
        <f>RTD("rtdtrading.rtdserver",, "T&amp;T0", "PRE", 16)</f>
        <v>7346.25</v>
      </c>
      <c r="C24" s="28">
        <f>RTD("rtdtrading.rtdserver",, "T&amp;T0", "QUL", 16)</f>
        <v>2</v>
      </c>
      <c r="D24" s="28" t="str">
        <f>RTD("rtdtrading.rtdserver",, "T&amp;T0", "AGR", 16)</f>
        <v>Comprador</v>
      </c>
      <c r="G24" s="36" t="str">
        <f>RTD("rtdtrading.rtdserver",, "T&amp;T1", "DAT", 16)</f>
        <v>19:08:17.551</v>
      </c>
      <c r="H24" s="37">
        <f>RTD("rtdtrading.rtdserver",, "T&amp;T1", "PRE", 16)</f>
        <v>7346</v>
      </c>
      <c r="I24" s="38">
        <f>RTD("rtdtrading.rtdserver",, "T&amp;T1", "QUL", 16)</f>
        <v>1</v>
      </c>
      <c r="J24" s="39" t="str">
        <f>RTD("rtdtrading.rtdserver",, "T&amp;T1", "AGR", 16)</f>
        <v>Vendedor</v>
      </c>
    </row>
    <row r="25" spans="1:13" x14ac:dyDescent="0.25">
      <c r="A25" s="44" t="str">
        <f>RTD("rtdtrading.rtdserver",, "T&amp;T0", "DAT", 17)</f>
        <v>19:08:07.373</v>
      </c>
      <c r="B25" s="27">
        <f>RTD("rtdtrading.rtdserver",, "T&amp;T0", "PRE", 17)</f>
        <v>7346.5</v>
      </c>
      <c r="C25" s="28">
        <f>RTD("rtdtrading.rtdserver",, "T&amp;T0", "QUL", 17)</f>
        <v>1</v>
      </c>
      <c r="D25" s="28" t="str">
        <f>RTD("rtdtrading.rtdserver",, "T&amp;T0", "AGR", 17)</f>
        <v>Comprador</v>
      </c>
      <c r="G25" s="36" t="str">
        <f>RTD("rtdtrading.rtdserver",, "T&amp;T1", "DAT", 17)</f>
        <v>19:08:17.550</v>
      </c>
      <c r="H25" s="37">
        <f>RTD("rtdtrading.rtdserver",, "T&amp;T1", "PRE", 17)</f>
        <v>7346</v>
      </c>
      <c r="I25" s="38">
        <f>RTD("rtdtrading.rtdserver",, "T&amp;T1", "QUL", 17)</f>
        <v>1</v>
      </c>
      <c r="J25" s="39" t="str">
        <f>RTD("rtdtrading.rtdserver",, "T&amp;T1", "AGR", 17)</f>
        <v>Vendedor</v>
      </c>
    </row>
    <row r="26" spans="1:13" x14ac:dyDescent="0.25">
      <c r="A26" s="44" t="str">
        <f>RTD("rtdtrading.rtdserver",, "T&amp;T0", "DAT", 18)</f>
        <v>19:08:06.672</v>
      </c>
      <c r="B26" s="27">
        <f>RTD("rtdtrading.rtdserver",, "T&amp;T0", "PRE", 18)</f>
        <v>7346.25</v>
      </c>
      <c r="C26" s="28">
        <f>RTD("rtdtrading.rtdserver",, "T&amp;T0", "QUL", 18)</f>
        <v>2</v>
      </c>
      <c r="D26" s="28" t="str">
        <f>RTD("rtdtrading.rtdserver",, "T&amp;T0", "AGR", 18)</f>
        <v>Comprador</v>
      </c>
      <c r="G26" s="36" t="str">
        <f>RTD("rtdtrading.rtdserver",, "T&amp;T1", "DAT", 18)</f>
        <v>19:08:17.046</v>
      </c>
      <c r="H26" s="37">
        <f>RTD("rtdtrading.rtdserver",, "T&amp;T1", "PRE", 18)</f>
        <v>7345.75</v>
      </c>
      <c r="I26" s="38">
        <f>RTD("rtdtrading.rtdserver",, "T&amp;T1", "QUL", 18)</f>
        <v>1</v>
      </c>
      <c r="J26" s="39" t="str">
        <f>RTD("rtdtrading.rtdserver",, "T&amp;T1", "AGR", 18)</f>
        <v>Vendedor</v>
      </c>
    </row>
    <row r="27" spans="1:13" x14ac:dyDescent="0.25">
      <c r="A27" s="44" t="str">
        <f>RTD("rtdtrading.rtdserver",, "T&amp;T0", "DAT", 19)</f>
        <v>19:08:06.569</v>
      </c>
      <c r="B27" s="27">
        <f>RTD("rtdtrading.rtdserver",, "T&amp;T0", "PRE", 19)</f>
        <v>7346.25</v>
      </c>
      <c r="C27" s="28">
        <f>RTD("rtdtrading.rtdserver",, "T&amp;T0", "QUL", 19)</f>
        <v>2</v>
      </c>
      <c r="D27" s="28" t="str">
        <f>RTD("rtdtrading.rtdserver",, "T&amp;T0", "AGR", 19)</f>
        <v>Comprador</v>
      </c>
      <c r="G27" s="36" t="str">
        <f>RTD("rtdtrading.rtdserver",, "T&amp;T1", "DAT", 19)</f>
        <v>19:08:14.850</v>
      </c>
      <c r="H27" s="37">
        <f>RTD("rtdtrading.rtdserver",, "T&amp;T1", "PRE", 19)</f>
        <v>7346</v>
      </c>
      <c r="I27" s="38">
        <f>RTD("rtdtrading.rtdserver",, "T&amp;T1", "QUL", 19)</f>
        <v>1</v>
      </c>
      <c r="J27" s="39" t="str">
        <f>RTD("rtdtrading.rtdserver",, "T&amp;T1", "AGR", 19)</f>
        <v>Vendedor</v>
      </c>
    </row>
    <row r="28" spans="1:13" x14ac:dyDescent="0.25">
      <c r="A28" s="44" t="str">
        <f>RTD("rtdtrading.rtdserver",, "T&amp;T0", "DAT", 20)</f>
        <v>19:08:06.569</v>
      </c>
      <c r="B28" s="27">
        <f>RTD("rtdtrading.rtdserver",, "T&amp;T0", "PRE", 20)</f>
        <v>7346.25</v>
      </c>
      <c r="C28" s="28">
        <f>RTD("rtdtrading.rtdserver",, "T&amp;T0", "QUL", 20)</f>
        <v>3</v>
      </c>
      <c r="D28" s="28" t="str">
        <f>RTD("rtdtrading.rtdserver",, "T&amp;T0", "AGR", 20)</f>
        <v>Comprador</v>
      </c>
      <c r="G28" s="36" t="str">
        <f>RTD("rtdtrading.rtdserver",, "T&amp;T1", "DAT", 20)</f>
        <v>19:08:14.714</v>
      </c>
      <c r="H28" s="37">
        <f>RTD("rtdtrading.rtdserver",, "T&amp;T1", "PRE", 20)</f>
        <v>7346</v>
      </c>
      <c r="I28" s="38">
        <f>RTD("rtdtrading.rtdserver",, "T&amp;T1", "QUL", 20)</f>
        <v>1</v>
      </c>
      <c r="J28" s="39" t="str">
        <f>RTD("rtdtrading.rtdserver",, "T&amp;T1", "AGR", 20)</f>
        <v>Vendedor</v>
      </c>
    </row>
    <row r="29" spans="1:13" x14ac:dyDescent="0.25">
      <c r="A29" s="44" t="str">
        <f>RTD("rtdtrading.rtdserver",, "T&amp;T0", "DAT", 21)</f>
        <v>19:08:03.577</v>
      </c>
      <c r="B29" s="27">
        <f>RTD("rtdtrading.rtdserver",, "T&amp;T0", "PRE", 21)</f>
        <v>7346.5</v>
      </c>
      <c r="C29" s="28">
        <f>RTD("rtdtrading.rtdserver",, "T&amp;T0", "QUL", 21)</f>
        <v>2</v>
      </c>
      <c r="D29" s="28" t="str">
        <f>RTD("rtdtrading.rtdserver",, "T&amp;T0", "AGR", 21)</f>
        <v>Comprador</v>
      </c>
      <c r="G29" s="36" t="str">
        <f>RTD("rtdtrading.rtdserver",, "T&amp;T1", "DAT", 21)</f>
        <v>19:08:13.947</v>
      </c>
      <c r="H29" s="37">
        <f>RTD("rtdtrading.rtdserver",, "T&amp;T1", "PRE", 21)</f>
        <v>7346</v>
      </c>
      <c r="I29" s="38">
        <f>RTD("rtdtrading.rtdserver",, "T&amp;T1", "QUL", 21)</f>
        <v>5</v>
      </c>
      <c r="J29" s="39" t="str">
        <f>RTD("rtdtrading.rtdserver",, "T&amp;T1", "AGR", 21)</f>
        <v>Vendedor</v>
      </c>
    </row>
    <row r="30" spans="1:13" x14ac:dyDescent="0.25">
      <c r="A30" s="44" t="str">
        <f>RTD("rtdtrading.rtdserver",, "T&amp;T0", "DAT", 22)</f>
        <v>19:08:02.530</v>
      </c>
      <c r="B30" s="27">
        <f>RTD("rtdtrading.rtdserver",, "T&amp;T0", "PRE", 22)</f>
        <v>7346.5</v>
      </c>
      <c r="C30" s="28">
        <f>RTD("rtdtrading.rtdserver",, "T&amp;T0", "QUL", 22)</f>
        <v>1</v>
      </c>
      <c r="D30" s="28" t="str">
        <f>RTD("rtdtrading.rtdserver",, "T&amp;T0", "AGR", 22)</f>
        <v>Comprador</v>
      </c>
      <c r="G30" s="36" t="str">
        <f>RTD("rtdtrading.rtdserver",, "T&amp;T1", "DAT", 22)</f>
        <v>19:08:10.031</v>
      </c>
      <c r="H30" s="37">
        <f>RTD("rtdtrading.rtdserver",, "T&amp;T1", "PRE", 22)</f>
        <v>7346</v>
      </c>
      <c r="I30" s="38">
        <f>RTD("rtdtrading.rtdserver",, "T&amp;T1", "QUL", 22)</f>
        <v>2</v>
      </c>
      <c r="J30" s="39" t="str">
        <f>RTD("rtdtrading.rtdserver",, "T&amp;T1", "AGR", 22)</f>
        <v>Vendedor</v>
      </c>
    </row>
    <row r="31" spans="1:13" x14ac:dyDescent="0.25">
      <c r="A31" s="44" t="str">
        <f>RTD("rtdtrading.rtdserver",, "T&amp;T0", "DAT", 23)</f>
        <v>19:07:58.807</v>
      </c>
      <c r="B31" s="27">
        <f>RTD("rtdtrading.rtdserver",, "T&amp;T0", "PRE", 23)</f>
        <v>7346.25</v>
      </c>
      <c r="C31" s="28">
        <f>RTD("rtdtrading.rtdserver",, "T&amp;T0", "QUL", 23)</f>
        <v>1</v>
      </c>
      <c r="D31" s="28" t="str">
        <f>RTD("rtdtrading.rtdserver",, "T&amp;T0", "AGR", 23)</f>
        <v>Comprador</v>
      </c>
      <c r="G31" s="36" t="str">
        <f>RTD("rtdtrading.rtdserver",, "T&amp;T1", "DAT", 23)</f>
        <v>19:08:09.612</v>
      </c>
      <c r="H31" s="37">
        <f>RTD("rtdtrading.rtdserver",, "T&amp;T1", "PRE", 23)</f>
        <v>7346</v>
      </c>
      <c r="I31" s="38">
        <f>RTD("rtdtrading.rtdserver",, "T&amp;T1", "QUL", 23)</f>
        <v>1</v>
      </c>
      <c r="J31" s="39" t="str">
        <f>RTD("rtdtrading.rtdserver",, "T&amp;T1", "AGR", 23)</f>
        <v>Vendedor</v>
      </c>
    </row>
    <row r="32" spans="1:13" x14ac:dyDescent="0.25">
      <c r="A32" s="44" t="str">
        <f>RTD("rtdtrading.rtdserver",, "T&amp;T0", "DAT", 24)</f>
        <v>19:07:57.419</v>
      </c>
      <c r="B32" s="27">
        <f>RTD("rtdtrading.rtdserver",, "T&amp;T0", "PRE", 24)</f>
        <v>7346.25</v>
      </c>
      <c r="C32" s="28">
        <f>RTD("rtdtrading.rtdserver",, "T&amp;T0", "QUL", 24)</f>
        <v>1</v>
      </c>
      <c r="D32" s="28" t="str">
        <f>RTD("rtdtrading.rtdserver",, "T&amp;T0", "AGR", 24)</f>
        <v>Comprador</v>
      </c>
      <c r="G32" s="36" t="str">
        <f>RTD("rtdtrading.rtdserver",, "T&amp;T1", "DAT", 24)</f>
        <v>19:08:09.318</v>
      </c>
      <c r="H32" s="37">
        <f>RTD("rtdtrading.rtdserver",, "T&amp;T1", "PRE", 24)</f>
        <v>7346</v>
      </c>
      <c r="I32" s="38">
        <f>RTD("rtdtrading.rtdserver",, "T&amp;T1", "QUL", 24)</f>
        <v>3</v>
      </c>
      <c r="J32" s="39" t="str">
        <f>RTD("rtdtrading.rtdserver",, "T&amp;T1", "AGR", 24)</f>
        <v>Vendedor</v>
      </c>
    </row>
    <row r="33" spans="1:10" x14ac:dyDescent="0.25">
      <c r="A33" s="44" t="str">
        <f>RTD("rtdtrading.rtdserver",, "T&amp;T0", "DAT", 25)</f>
        <v>19:07:57.244</v>
      </c>
      <c r="B33" s="27">
        <f>RTD("rtdtrading.rtdserver",, "T&amp;T0", "PRE", 25)</f>
        <v>7346.25</v>
      </c>
      <c r="C33" s="28">
        <f>RTD("rtdtrading.rtdserver",, "T&amp;T0", "QUL", 25)</f>
        <v>5</v>
      </c>
      <c r="D33" s="28" t="str">
        <f>RTD("rtdtrading.rtdserver",, "T&amp;T0", "AGR", 25)</f>
        <v>Comprador</v>
      </c>
      <c r="G33" s="36" t="str">
        <f>RTD("rtdtrading.rtdserver",, "T&amp;T1", "DAT", 25)</f>
        <v>19:08:09.318</v>
      </c>
      <c r="H33" s="37">
        <f>RTD("rtdtrading.rtdserver",, "T&amp;T1", "PRE", 25)</f>
        <v>7346</v>
      </c>
      <c r="I33" s="38">
        <f>RTD("rtdtrading.rtdserver",, "T&amp;T1", "QUL", 25)</f>
        <v>4</v>
      </c>
      <c r="J33" s="39" t="str">
        <f>RTD("rtdtrading.rtdserver",, "T&amp;T1", "AGR", 25)</f>
        <v>Vendedor</v>
      </c>
    </row>
    <row r="34" spans="1:10" x14ac:dyDescent="0.25">
      <c r="A34" s="44" t="str">
        <f>RTD("rtdtrading.rtdserver",, "T&amp;T0", "DAT", 26)</f>
        <v>19:07:51.920</v>
      </c>
      <c r="B34" s="27">
        <f>RTD("rtdtrading.rtdserver",, "T&amp;T0", "PRE", 26)</f>
        <v>7346.25</v>
      </c>
      <c r="C34" s="28">
        <f>RTD("rtdtrading.rtdserver",, "T&amp;T0", "QUL", 26)</f>
        <v>1</v>
      </c>
      <c r="D34" s="28" t="str">
        <f>RTD("rtdtrading.rtdserver",, "T&amp;T0", "AGR", 26)</f>
        <v>Comprador</v>
      </c>
      <c r="G34" s="36" t="str">
        <f>RTD("rtdtrading.rtdserver",, "T&amp;T1", "DAT", 26)</f>
        <v>19:08:06.570</v>
      </c>
      <c r="H34" s="37">
        <f>RTD("rtdtrading.rtdserver",, "T&amp;T1", "PRE", 26)</f>
        <v>7346.25</v>
      </c>
      <c r="I34" s="38">
        <f>RTD("rtdtrading.rtdserver",, "T&amp;T1", "QUL", 26)</f>
        <v>1</v>
      </c>
      <c r="J34" s="39" t="str">
        <f>RTD("rtdtrading.rtdserver",, "T&amp;T1", "AGR", 26)</f>
        <v>Vendedor</v>
      </c>
    </row>
    <row r="35" spans="1:10" x14ac:dyDescent="0.25">
      <c r="A35" s="44" t="str">
        <f>RTD("rtdtrading.rtdserver",, "T&amp;T0", "DAT", 27)</f>
        <v>19:07:51.586</v>
      </c>
      <c r="B35" s="27">
        <f>RTD("rtdtrading.rtdserver",, "T&amp;T0", "PRE", 27)</f>
        <v>7346.5</v>
      </c>
      <c r="C35" s="28">
        <f>RTD("rtdtrading.rtdserver",, "T&amp;T0", "QUL", 27)</f>
        <v>5</v>
      </c>
      <c r="D35" s="28" t="str">
        <f>RTD("rtdtrading.rtdserver",, "T&amp;T0", "AGR", 27)</f>
        <v>Comprador</v>
      </c>
      <c r="G35" s="36" t="str">
        <f>RTD("rtdtrading.rtdserver",, "T&amp;T1", "DAT", 27)</f>
        <v>19:08:06.570</v>
      </c>
      <c r="H35" s="37">
        <f>RTD("rtdtrading.rtdserver",, "T&amp;T1", "PRE", 27)</f>
        <v>7346.25</v>
      </c>
      <c r="I35" s="38">
        <f>RTD("rtdtrading.rtdserver",, "T&amp;T1", "QUL", 27)</f>
        <v>1</v>
      </c>
      <c r="J35" s="39" t="str">
        <f>RTD("rtdtrading.rtdserver",, "T&amp;T1", "AGR", 27)</f>
        <v>Vendedor</v>
      </c>
    </row>
    <row r="36" spans="1:10" x14ac:dyDescent="0.25">
      <c r="A36" s="44" t="str">
        <f>RTD("rtdtrading.rtdserver",, "T&amp;T0", "DAT", 28)</f>
        <v>19:07:50.166</v>
      </c>
      <c r="B36" s="27">
        <f>RTD("rtdtrading.rtdserver",, "T&amp;T0", "PRE", 28)</f>
        <v>7346.25</v>
      </c>
      <c r="C36" s="28">
        <f>RTD("rtdtrading.rtdserver",, "T&amp;T0", "QUL", 28)</f>
        <v>1</v>
      </c>
      <c r="D36" s="28" t="str">
        <f>RTD("rtdtrading.rtdserver",, "T&amp;T0", "AGR", 28)</f>
        <v>Comprador</v>
      </c>
      <c r="G36" s="36" t="str">
        <f>RTD("rtdtrading.rtdserver",, "T&amp;T1", "DAT", 28)</f>
        <v>19:08:06.569</v>
      </c>
      <c r="H36" s="37">
        <f>RTD("rtdtrading.rtdserver",, "T&amp;T1", "PRE", 28)</f>
        <v>7346.25</v>
      </c>
      <c r="I36" s="38">
        <f>RTD("rtdtrading.rtdserver",, "T&amp;T1", "QUL", 28)</f>
        <v>1</v>
      </c>
      <c r="J36" s="39" t="str">
        <f>RTD("rtdtrading.rtdserver",, "T&amp;T1", "AGR", 28)</f>
        <v>Vendedor</v>
      </c>
    </row>
    <row r="37" spans="1:10" x14ac:dyDescent="0.25">
      <c r="A37" s="44" t="str">
        <f>RTD("rtdtrading.rtdserver",, "T&amp;T0", "DAT", 29)</f>
        <v>19:07:49.713</v>
      </c>
      <c r="B37" s="27">
        <f>RTD("rtdtrading.rtdserver",, "T&amp;T0", "PRE", 29)</f>
        <v>7346.25</v>
      </c>
      <c r="C37" s="28">
        <f>RTD("rtdtrading.rtdserver",, "T&amp;T0", "QUL", 29)</f>
        <v>1</v>
      </c>
      <c r="D37" s="28" t="str">
        <f>RTD("rtdtrading.rtdserver",, "T&amp;T0", "AGR", 29)</f>
        <v>Comprador</v>
      </c>
      <c r="G37" s="36" t="str">
        <f>RTD("rtdtrading.rtdserver",, "T&amp;T1", "DAT", 29)</f>
        <v>19:08:05.324</v>
      </c>
      <c r="H37" s="37">
        <f>RTD("rtdtrading.rtdserver",, "T&amp;T1", "PRE", 29)</f>
        <v>7346.25</v>
      </c>
      <c r="I37" s="38">
        <f>RTD("rtdtrading.rtdserver",, "T&amp;T1", "QUL", 29)</f>
        <v>6</v>
      </c>
      <c r="J37" s="39" t="str">
        <f>RTD("rtdtrading.rtdserver",, "T&amp;T1", "AGR", 29)</f>
        <v>Vendedor</v>
      </c>
    </row>
    <row r="38" spans="1:10" x14ac:dyDescent="0.25">
      <c r="A38" s="44" t="str">
        <f>RTD("rtdtrading.rtdserver",, "T&amp;T0", "DAT", 30)</f>
        <v>19:07:49.662</v>
      </c>
      <c r="B38" s="27">
        <f>RTD("rtdtrading.rtdserver",, "T&amp;T0", "PRE", 30)</f>
        <v>7346.25</v>
      </c>
      <c r="C38" s="28">
        <f>RTD("rtdtrading.rtdserver",, "T&amp;T0", "QUL", 30)</f>
        <v>1</v>
      </c>
      <c r="D38" s="28" t="str">
        <f>RTD("rtdtrading.rtdserver",, "T&amp;T0", "AGR", 30)</f>
        <v>Comprador</v>
      </c>
      <c r="G38" s="36" t="str">
        <f>RTD("rtdtrading.rtdserver",, "T&amp;T1", "DAT", 30)</f>
        <v>19:08:01.147</v>
      </c>
      <c r="H38" s="37">
        <f>RTD("rtdtrading.rtdserver",, "T&amp;T1", "PRE", 30)</f>
        <v>7346.25</v>
      </c>
      <c r="I38" s="38">
        <f>RTD("rtdtrading.rtdserver",, "T&amp;T1", "QUL", 30)</f>
        <v>1</v>
      </c>
      <c r="J38" s="39" t="str">
        <f>RTD("rtdtrading.rtdserver",, "T&amp;T1", "AGR", 30)</f>
        <v>Vendedor</v>
      </c>
    </row>
    <row r="39" spans="1:10" x14ac:dyDescent="0.25">
      <c r="A39" s="44" t="str">
        <f>RTD("rtdtrading.rtdserver",, "T&amp;T0", "DAT", 31)</f>
        <v>19:07:49.510</v>
      </c>
      <c r="B39" s="27">
        <f>RTD("rtdtrading.rtdserver",, "T&amp;T0", "PRE", 31)</f>
        <v>7346.25</v>
      </c>
      <c r="C39" s="28">
        <f>RTD("rtdtrading.rtdserver",, "T&amp;T0", "QUL", 31)</f>
        <v>8</v>
      </c>
      <c r="D39" s="28" t="str">
        <f>RTD("rtdtrading.rtdserver",, "T&amp;T0", "AGR", 31)</f>
        <v>Comprador</v>
      </c>
      <c r="G39" s="36" t="str">
        <f>RTD("rtdtrading.rtdserver",, "T&amp;T1", "DAT", 31)</f>
        <v>19:07:59.625</v>
      </c>
      <c r="H39" s="37">
        <f>RTD("rtdtrading.rtdserver",, "T&amp;T1", "PRE", 31)</f>
        <v>7346.25</v>
      </c>
      <c r="I39" s="38">
        <f>RTD("rtdtrading.rtdserver",, "T&amp;T1", "QUL", 31)</f>
        <v>1</v>
      </c>
      <c r="J39" s="39" t="str">
        <f>RTD("rtdtrading.rtdserver",, "T&amp;T1", "AGR", 31)</f>
        <v>Vendedor</v>
      </c>
    </row>
    <row r="40" spans="1:10" x14ac:dyDescent="0.25">
      <c r="A40" s="44" t="str">
        <f>RTD("rtdtrading.rtdserver",, "T&amp;T0", "DAT", 32)</f>
        <v>19:07:49.485</v>
      </c>
      <c r="B40" s="27">
        <f>RTD("rtdtrading.rtdserver",, "T&amp;T0", "PRE", 32)</f>
        <v>7346</v>
      </c>
      <c r="C40" s="28">
        <f>RTD("rtdtrading.rtdserver",, "T&amp;T0", "QUL", 32)</f>
        <v>2</v>
      </c>
      <c r="D40" s="28" t="str">
        <f>RTD("rtdtrading.rtdserver",, "T&amp;T0", "AGR", 32)</f>
        <v>Comprador</v>
      </c>
      <c r="G40" s="36" t="str">
        <f>RTD("rtdtrading.rtdserver",, "T&amp;T1", "DAT", 32)</f>
        <v>19:07:59.565</v>
      </c>
      <c r="H40" s="37">
        <f>RTD("rtdtrading.rtdserver",, "T&amp;T1", "PRE", 32)</f>
        <v>7346.25</v>
      </c>
      <c r="I40" s="38">
        <f>RTD("rtdtrading.rtdserver",, "T&amp;T1", "QUL", 32)</f>
        <v>1</v>
      </c>
      <c r="J40" s="39" t="str">
        <f>RTD("rtdtrading.rtdserver",, "T&amp;T1", "AGR", 32)</f>
        <v>Vendedor</v>
      </c>
    </row>
    <row r="41" spans="1:10" x14ac:dyDescent="0.25">
      <c r="A41" s="44" t="str">
        <f>RTD("rtdtrading.rtdserver",, "T&amp;T0", "DAT", 33)</f>
        <v>19:07:49.485</v>
      </c>
      <c r="B41" s="27">
        <f>RTD("rtdtrading.rtdserver",, "T&amp;T0", "PRE", 33)</f>
        <v>7346</v>
      </c>
      <c r="C41" s="28">
        <f>RTD("rtdtrading.rtdserver",, "T&amp;T0", "QUL", 33)</f>
        <v>6</v>
      </c>
      <c r="D41" s="28" t="str">
        <f>RTD("rtdtrading.rtdserver",, "T&amp;T0", "AGR", 33)</f>
        <v>Comprador</v>
      </c>
      <c r="G41" s="36" t="str">
        <f>RTD("rtdtrading.rtdserver",, "T&amp;T1", "DAT", 33)</f>
        <v>19:07:58.761</v>
      </c>
      <c r="H41" s="37">
        <f>RTD("rtdtrading.rtdserver",, "T&amp;T1", "PRE", 33)</f>
        <v>7346</v>
      </c>
      <c r="I41" s="38">
        <f>RTD("rtdtrading.rtdserver",, "T&amp;T1", "QUL", 33)</f>
        <v>1</v>
      </c>
      <c r="J41" s="39" t="str">
        <f>RTD("rtdtrading.rtdserver",, "T&amp;T1", "AGR", 33)</f>
        <v>Vendedor</v>
      </c>
    </row>
    <row r="42" spans="1:10" x14ac:dyDescent="0.25">
      <c r="A42" s="44" t="str">
        <f>RTD("rtdtrading.rtdserver",, "T&amp;T0", "DAT", 34)</f>
        <v>19:07:41.656</v>
      </c>
      <c r="B42" s="27">
        <f>RTD("rtdtrading.rtdserver",, "T&amp;T0", "PRE", 34)</f>
        <v>7346.25</v>
      </c>
      <c r="C42" s="28">
        <f>RTD("rtdtrading.rtdserver",, "T&amp;T0", "QUL", 34)</f>
        <v>1</v>
      </c>
      <c r="D42" s="28" t="str">
        <f>RTD("rtdtrading.rtdserver",, "T&amp;T0", "AGR", 34)</f>
        <v>Comprador</v>
      </c>
      <c r="G42" s="36" t="str">
        <f>RTD("rtdtrading.rtdserver",, "T&amp;T1", "DAT", 34)</f>
        <v>19:07:57.418</v>
      </c>
      <c r="H42" s="37">
        <f>RTD("rtdtrading.rtdserver",, "T&amp;T1", "PRE", 34)</f>
        <v>7346</v>
      </c>
      <c r="I42" s="38">
        <f>RTD("rtdtrading.rtdserver",, "T&amp;T1", "QUL", 34)</f>
        <v>1</v>
      </c>
      <c r="J42" s="39" t="str">
        <f>RTD("rtdtrading.rtdserver",, "T&amp;T1", "AGR", 34)</f>
        <v>Vendedor</v>
      </c>
    </row>
    <row r="43" spans="1:10" x14ac:dyDescent="0.25">
      <c r="A43" s="44" t="str">
        <f>RTD("rtdtrading.rtdserver",, "T&amp;T0", "DAT", 35)</f>
        <v>19:07:38.250</v>
      </c>
      <c r="B43" s="27">
        <f>RTD("rtdtrading.rtdserver",, "T&amp;T0", "PRE", 35)</f>
        <v>7346.5</v>
      </c>
      <c r="C43" s="28">
        <f>RTD("rtdtrading.rtdserver",, "T&amp;T0", "QUL", 35)</f>
        <v>1</v>
      </c>
      <c r="D43" s="28" t="str">
        <f>RTD("rtdtrading.rtdserver",, "T&amp;T0", "AGR", 35)</f>
        <v>Comprador</v>
      </c>
      <c r="G43" s="36" t="str">
        <f>RTD("rtdtrading.rtdserver",, "T&amp;T1", "DAT", 35)</f>
        <v>19:07:57.418</v>
      </c>
      <c r="H43" s="37">
        <f>RTD("rtdtrading.rtdserver",, "T&amp;T1", "PRE", 35)</f>
        <v>7346.25</v>
      </c>
      <c r="I43" s="38">
        <f>RTD("rtdtrading.rtdserver",, "T&amp;T1", "QUL", 35)</f>
        <v>4</v>
      </c>
      <c r="J43" s="39" t="str">
        <f>RTD("rtdtrading.rtdserver",, "T&amp;T1", "AGR", 35)</f>
        <v>Vendedor</v>
      </c>
    </row>
    <row r="44" spans="1:10" x14ac:dyDescent="0.25">
      <c r="A44" s="44" t="str">
        <f>RTD("rtdtrading.rtdserver",, "T&amp;T0", "DAT", 36)</f>
        <v>19:07:36.665</v>
      </c>
      <c r="B44" s="27">
        <f>RTD("rtdtrading.rtdserver",, "T&amp;T0", "PRE", 36)</f>
        <v>7346.5</v>
      </c>
      <c r="C44" s="28">
        <f>RTD("rtdtrading.rtdserver",, "T&amp;T0", "QUL", 36)</f>
        <v>1</v>
      </c>
      <c r="D44" s="28" t="str">
        <f>RTD("rtdtrading.rtdserver",, "T&amp;T0", "AGR", 36)</f>
        <v>Comprador</v>
      </c>
      <c r="G44" s="36" t="str">
        <f>RTD("rtdtrading.rtdserver",, "T&amp;T1", "DAT", 36)</f>
        <v>19:07:57.245</v>
      </c>
      <c r="H44" s="37">
        <f>RTD("rtdtrading.rtdserver",, "T&amp;T1", "PRE", 36)</f>
        <v>7346.25</v>
      </c>
      <c r="I44" s="38">
        <f>RTD("rtdtrading.rtdserver",, "T&amp;T1", "QUL", 36)</f>
        <v>1</v>
      </c>
      <c r="J44" s="39" t="str">
        <f>RTD("rtdtrading.rtdserver",, "T&amp;T1", "AGR", 36)</f>
        <v>Vendedor</v>
      </c>
    </row>
    <row r="45" spans="1:10" x14ac:dyDescent="0.25">
      <c r="A45" s="44" t="str">
        <f>RTD("rtdtrading.rtdserver",, "T&amp;T0", "DAT", 37)</f>
        <v>19:07:31.220</v>
      </c>
      <c r="B45" s="27">
        <f>RTD("rtdtrading.rtdserver",, "T&amp;T0", "PRE", 37)</f>
        <v>7346.75</v>
      </c>
      <c r="C45" s="28">
        <f>RTD("rtdtrading.rtdserver",, "T&amp;T0", "QUL", 37)</f>
        <v>3</v>
      </c>
      <c r="D45" s="28" t="str">
        <f>RTD("rtdtrading.rtdserver",, "T&amp;T0", "AGR", 37)</f>
        <v>Comprador</v>
      </c>
      <c r="G45" s="36" t="str">
        <f>RTD("rtdtrading.rtdserver",, "T&amp;T1", "DAT", 37)</f>
        <v>19:07:56.248</v>
      </c>
      <c r="H45" s="37">
        <f>RTD("rtdtrading.rtdserver",, "T&amp;T1", "PRE", 37)</f>
        <v>7346</v>
      </c>
      <c r="I45" s="38">
        <f>RTD("rtdtrading.rtdserver",, "T&amp;T1", "QUL", 37)</f>
        <v>1</v>
      </c>
      <c r="J45" s="39" t="str">
        <f>RTD("rtdtrading.rtdserver",, "T&amp;T1", "AGR", 37)</f>
        <v>Vendedor</v>
      </c>
    </row>
    <row r="46" spans="1:10" x14ac:dyDescent="0.25">
      <c r="A46" s="44" t="str">
        <f>RTD("rtdtrading.rtdserver",, "T&amp;T0", "DAT", 38)</f>
        <v>19:07:30.350</v>
      </c>
      <c r="B46" s="27">
        <f>RTD("rtdtrading.rtdserver",, "T&amp;T0", "PRE", 38)</f>
        <v>7346.75</v>
      </c>
      <c r="C46" s="28">
        <f>RTD("rtdtrading.rtdserver",, "T&amp;T0", "QUL", 38)</f>
        <v>1</v>
      </c>
      <c r="D46" s="28" t="str">
        <f>RTD("rtdtrading.rtdserver",, "T&amp;T0", "AGR", 38)</f>
        <v>Comprador</v>
      </c>
      <c r="G46" s="36" t="str">
        <f>RTD("rtdtrading.rtdserver",, "T&amp;T1", "DAT", 38)</f>
        <v>19:07:51.564</v>
      </c>
      <c r="H46" s="37">
        <f>RTD("rtdtrading.rtdserver",, "T&amp;T1", "PRE", 38)</f>
        <v>7346.25</v>
      </c>
      <c r="I46" s="38">
        <f>RTD("rtdtrading.rtdserver",, "T&amp;T1", "QUL", 38)</f>
        <v>1</v>
      </c>
      <c r="J46" s="39" t="str">
        <f>RTD("rtdtrading.rtdserver",, "T&amp;T1", "AGR", 38)</f>
        <v>Vendedor</v>
      </c>
    </row>
    <row r="47" spans="1:10" x14ac:dyDescent="0.25">
      <c r="A47" s="44" t="str">
        <f>RTD("rtdtrading.rtdserver",, "T&amp;T0", "DAT", 39)</f>
        <v>19:07:30.217</v>
      </c>
      <c r="B47" s="27">
        <f>RTD("rtdtrading.rtdserver",, "T&amp;T0", "PRE", 39)</f>
        <v>7346.75</v>
      </c>
      <c r="C47" s="28">
        <f>RTD("rtdtrading.rtdserver",, "T&amp;T0", "QUL", 39)</f>
        <v>5</v>
      </c>
      <c r="D47" s="28" t="str">
        <f>RTD("rtdtrading.rtdserver",, "T&amp;T0", "AGR", 39)</f>
        <v>Comprador</v>
      </c>
      <c r="G47" s="36" t="str">
        <f>RTD("rtdtrading.rtdserver",, "T&amp;T1", "DAT", 39)</f>
        <v>19:07:51.564</v>
      </c>
      <c r="H47" s="37">
        <f>RTD("rtdtrading.rtdserver",, "T&amp;T1", "PRE", 39)</f>
        <v>7346.25</v>
      </c>
      <c r="I47" s="38">
        <f>RTD("rtdtrading.rtdserver",, "T&amp;T1", "QUL", 39)</f>
        <v>1</v>
      </c>
      <c r="J47" s="39" t="str">
        <f>RTD("rtdtrading.rtdserver",, "T&amp;T1", "AGR", 39)</f>
        <v>Vendedor</v>
      </c>
    </row>
    <row r="48" spans="1:10" x14ac:dyDescent="0.25">
      <c r="A48" s="44" t="str">
        <f>RTD("rtdtrading.rtdserver",, "T&amp;T0", "DAT", 40)</f>
        <v>19:07:27.325</v>
      </c>
      <c r="B48" s="27">
        <f>RTD("rtdtrading.rtdserver",, "T&amp;T0", "PRE", 40)</f>
        <v>7346.75</v>
      </c>
      <c r="C48" s="28">
        <f>RTD("rtdtrading.rtdserver",, "T&amp;T0", "QUL", 40)</f>
        <v>5</v>
      </c>
      <c r="D48" s="28" t="str">
        <f>RTD("rtdtrading.rtdserver",, "T&amp;T0", "AGR", 40)</f>
        <v>Comprador</v>
      </c>
      <c r="G48" s="36" t="str">
        <f>RTD("rtdtrading.rtdserver",, "T&amp;T1", "DAT", 40)</f>
        <v>19:07:51.374</v>
      </c>
      <c r="H48" s="37">
        <f>RTD("rtdtrading.rtdserver",, "T&amp;T1", "PRE", 40)</f>
        <v>7346.25</v>
      </c>
      <c r="I48" s="38">
        <f>RTD("rtdtrading.rtdserver",, "T&amp;T1", "QUL", 40)</f>
        <v>1</v>
      </c>
      <c r="J48" s="39" t="str">
        <f>RTD("rtdtrading.rtdserver",, "T&amp;T1", "AGR", 40)</f>
        <v>Vendedor</v>
      </c>
    </row>
    <row r="49" spans="1:10" x14ac:dyDescent="0.25">
      <c r="A49" s="44" t="str">
        <f>RTD("rtdtrading.rtdserver",, "T&amp;T0", "DAT", 41)</f>
        <v>19:07:26.113</v>
      </c>
      <c r="B49" s="27">
        <f>RTD("rtdtrading.rtdserver",, "T&amp;T0", "PRE", 41)</f>
        <v>7346.75</v>
      </c>
      <c r="C49" s="28">
        <f>RTD("rtdtrading.rtdserver",, "T&amp;T0", "QUL", 41)</f>
        <v>2</v>
      </c>
      <c r="D49" s="28" t="str">
        <f>RTD("rtdtrading.rtdserver",, "T&amp;T0", "AGR", 41)</f>
        <v>Comprador</v>
      </c>
      <c r="G49" s="36" t="str">
        <f>RTD("rtdtrading.rtdserver",, "T&amp;T1", "DAT", 41)</f>
        <v>19:07:50.487</v>
      </c>
      <c r="H49" s="37">
        <f>RTD("rtdtrading.rtdserver",, "T&amp;T1", "PRE", 41)</f>
        <v>7346.25</v>
      </c>
      <c r="I49" s="38">
        <f>RTD("rtdtrading.rtdserver",, "T&amp;T1", "QUL", 41)</f>
        <v>1</v>
      </c>
      <c r="J49" s="39" t="str">
        <f>RTD("rtdtrading.rtdserver",, "T&amp;T1", "AGR", 41)</f>
        <v>Vendedor</v>
      </c>
    </row>
    <row r="50" spans="1:10" x14ac:dyDescent="0.25">
      <c r="A50" s="44" t="str">
        <f>RTD("rtdtrading.rtdserver",, "T&amp;T0", "DAT", 42)</f>
        <v>19:07:25.405</v>
      </c>
      <c r="B50" s="27">
        <f>RTD("rtdtrading.rtdserver",, "T&amp;T0", "PRE", 42)</f>
        <v>7346.75</v>
      </c>
      <c r="C50" s="28">
        <f>RTD("rtdtrading.rtdserver",, "T&amp;T0", "QUL", 42)</f>
        <v>2</v>
      </c>
      <c r="D50" s="28" t="str">
        <f>RTD("rtdtrading.rtdserver",, "T&amp;T0", "AGR", 42)</f>
        <v>Comprador</v>
      </c>
      <c r="G50" s="36" t="str">
        <f>RTD("rtdtrading.rtdserver",, "T&amp;T1", "DAT", 42)</f>
        <v>19:07:50.367</v>
      </c>
      <c r="H50" s="37">
        <f>RTD("rtdtrading.rtdserver",, "T&amp;T1", "PRE", 42)</f>
        <v>7346.25</v>
      </c>
      <c r="I50" s="38">
        <f>RTD("rtdtrading.rtdserver",, "T&amp;T1", "QUL", 42)</f>
        <v>1</v>
      </c>
      <c r="J50" s="39" t="str">
        <f>RTD("rtdtrading.rtdserver",, "T&amp;T1", "AGR", 42)</f>
        <v>Vendedor</v>
      </c>
    </row>
    <row r="51" spans="1:10" x14ac:dyDescent="0.25">
      <c r="A51" s="44" t="str">
        <f>RTD("rtdtrading.rtdserver",, "T&amp;T0", "DAT", 43)</f>
        <v>19:07:22.257</v>
      </c>
      <c r="B51" s="27">
        <f>RTD("rtdtrading.rtdserver",, "T&amp;T0", "PRE", 43)</f>
        <v>7347</v>
      </c>
      <c r="C51" s="28">
        <f>RTD("rtdtrading.rtdserver",, "T&amp;T0", "QUL", 43)</f>
        <v>1</v>
      </c>
      <c r="D51" s="28" t="str">
        <f>RTD("rtdtrading.rtdserver",, "T&amp;T0", "AGR", 43)</f>
        <v>Comprador</v>
      </c>
      <c r="G51" s="36" t="str">
        <f>RTD("rtdtrading.rtdserver",, "T&amp;T1", "DAT", 43)</f>
        <v>19:07:49.141</v>
      </c>
      <c r="H51" s="37">
        <f>RTD("rtdtrading.rtdserver",, "T&amp;T1", "PRE", 43)</f>
        <v>7345.75</v>
      </c>
      <c r="I51" s="38">
        <f>RTD("rtdtrading.rtdserver",, "T&amp;T1", "QUL", 43)</f>
        <v>1</v>
      </c>
      <c r="J51" s="39" t="str">
        <f>RTD("rtdtrading.rtdserver",, "T&amp;T1", "AGR", 43)</f>
        <v>Vendedor</v>
      </c>
    </row>
    <row r="52" spans="1:10" x14ac:dyDescent="0.25">
      <c r="A52" s="44" t="str">
        <f>RTD("rtdtrading.rtdserver",, "T&amp;T0", "DAT", 44)</f>
        <v>19:07:17.043</v>
      </c>
      <c r="B52" s="27">
        <f>RTD("rtdtrading.rtdserver",, "T&amp;T0", "PRE", 44)</f>
        <v>7347</v>
      </c>
      <c r="C52" s="28">
        <f>RTD("rtdtrading.rtdserver",, "T&amp;T0", "QUL", 44)</f>
        <v>1</v>
      </c>
      <c r="D52" s="28" t="str">
        <f>RTD("rtdtrading.rtdserver",, "T&amp;T0", "AGR", 44)</f>
        <v>Comprador</v>
      </c>
      <c r="G52" s="36" t="str">
        <f>RTD("rtdtrading.rtdserver",, "T&amp;T1", "DAT", 44)</f>
        <v>19:07:46.633</v>
      </c>
      <c r="H52" s="37">
        <f>RTD("rtdtrading.rtdserver",, "T&amp;T1", "PRE", 44)</f>
        <v>7345.75</v>
      </c>
      <c r="I52" s="38">
        <f>RTD("rtdtrading.rtdserver",, "T&amp;T1", "QUL", 44)</f>
        <v>2</v>
      </c>
      <c r="J52" s="39" t="str">
        <f>RTD("rtdtrading.rtdserver",, "T&amp;T1", "AGR", 44)</f>
        <v>Vendedor</v>
      </c>
    </row>
    <row r="53" spans="1:10" x14ac:dyDescent="0.25">
      <c r="A53" s="44" t="str">
        <f>RTD("rtdtrading.rtdserver",, "T&amp;T0", "DAT", 45)</f>
        <v>19:07:13.750</v>
      </c>
      <c r="B53" s="27">
        <f>RTD("rtdtrading.rtdserver",, "T&amp;T0", "PRE", 45)</f>
        <v>7347.25</v>
      </c>
      <c r="C53" s="28">
        <f>RTD("rtdtrading.rtdserver",, "T&amp;T0", "QUL", 45)</f>
        <v>1</v>
      </c>
      <c r="D53" s="28" t="str">
        <f>RTD("rtdtrading.rtdserver",, "T&amp;T0", "AGR", 45)</f>
        <v>Comprador</v>
      </c>
      <c r="G53" s="36" t="str">
        <f>RTD("rtdtrading.rtdserver",, "T&amp;T1", "DAT", 45)</f>
        <v>19:07:46.296</v>
      </c>
      <c r="H53" s="37">
        <f>RTD("rtdtrading.rtdserver",, "T&amp;T1", "PRE", 45)</f>
        <v>7345.75</v>
      </c>
      <c r="I53" s="38">
        <f>RTD("rtdtrading.rtdserver",, "T&amp;T1", "QUL", 45)</f>
        <v>7</v>
      </c>
      <c r="J53" s="39" t="str">
        <f>RTD("rtdtrading.rtdserver",, "T&amp;T1", "AGR", 45)</f>
        <v>Vendedor</v>
      </c>
    </row>
    <row r="54" spans="1:10" x14ac:dyDescent="0.25">
      <c r="A54" s="44" t="str">
        <f>RTD("rtdtrading.rtdserver",, "T&amp;T0", "DAT", 46)</f>
        <v>19:07:13.749</v>
      </c>
      <c r="B54" s="27">
        <f>RTD("rtdtrading.rtdserver",, "T&amp;T0", "PRE", 46)</f>
        <v>7347.25</v>
      </c>
      <c r="C54" s="28">
        <f>RTD("rtdtrading.rtdserver",, "T&amp;T0", "QUL", 46)</f>
        <v>1</v>
      </c>
      <c r="D54" s="28" t="str">
        <f>RTD("rtdtrading.rtdserver",, "T&amp;T0", "AGR", 46)</f>
        <v>Comprador</v>
      </c>
      <c r="G54" s="36" t="str">
        <f>RTD("rtdtrading.rtdserver",, "T&amp;T1", "DAT", 46)</f>
        <v>19:07:42.895</v>
      </c>
      <c r="H54" s="37">
        <f>RTD("rtdtrading.rtdserver",, "T&amp;T1", "PRE", 46)</f>
        <v>7346</v>
      </c>
      <c r="I54" s="38">
        <f>RTD("rtdtrading.rtdserver",, "T&amp;T1", "QUL", 46)</f>
        <v>2</v>
      </c>
      <c r="J54" s="39" t="str">
        <f>RTD("rtdtrading.rtdserver",, "T&amp;T1", "AGR", 46)</f>
        <v>Vendedor</v>
      </c>
    </row>
    <row r="55" spans="1:10" x14ac:dyDescent="0.25">
      <c r="A55" s="44" t="str">
        <f>RTD("rtdtrading.rtdserver",, "T&amp;T0", "DAT", 47)</f>
        <v>19:06:54.069</v>
      </c>
      <c r="B55" s="27">
        <f>RTD("rtdtrading.rtdserver",, "T&amp;T0", "PRE", 47)</f>
        <v>7347.75</v>
      </c>
      <c r="C55" s="28">
        <f>RTD("rtdtrading.rtdserver",, "T&amp;T0", "QUL", 47)</f>
        <v>4</v>
      </c>
      <c r="D55" s="28" t="str">
        <f>RTD("rtdtrading.rtdserver",, "T&amp;T0", "AGR", 47)</f>
        <v>Comprador</v>
      </c>
      <c r="G55" s="36" t="str">
        <f>RTD("rtdtrading.rtdserver",, "T&amp;T1", "DAT", 47)</f>
        <v>19:07:42.894</v>
      </c>
      <c r="H55" s="37">
        <f>RTD("rtdtrading.rtdserver",, "T&amp;T1", "PRE", 47)</f>
        <v>7346</v>
      </c>
      <c r="I55" s="38">
        <f>RTD("rtdtrading.rtdserver",, "T&amp;T1", "QUL", 47)</f>
        <v>8</v>
      </c>
      <c r="J55" s="39" t="str">
        <f>RTD("rtdtrading.rtdserver",, "T&amp;T1", "AGR", 47)</f>
        <v>Vendedor</v>
      </c>
    </row>
    <row r="56" spans="1:10" x14ac:dyDescent="0.25">
      <c r="A56" s="44" t="str">
        <f>RTD("rtdtrading.rtdserver",, "T&amp;T0", "DAT", 48)</f>
        <v>19:06:54.069</v>
      </c>
      <c r="B56" s="27">
        <f>RTD("rtdtrading.rtdserver",, "T&amp;T0", "PRE", 48)</f>
        <v>7347.5</v>
      </c>
      <c r="C56" s="28">
        <f>RTD("rtdtrading.rtdserver",, "T&amp;T0", "QUL", 48)</f>
        <v>2</v>
      </c>
      <c r="D56" s="28" t="str">
        <f>RTD("rtdtrading.rtdserver",, "T&amp;T0", "AGR", 48)</f>
        <v>Comprador</v>
      </c>
      <c r="G56" s="36" t="str">
        <f>RTD("rtdtrading.rtdserver",, "T&amp;T1", "DAT", 48)</f>
        <v>19:07:40.322</v>
      </c>
      <c r="H56" s="37">
        <f>RTD("rtdtrading.rtdserver",, "T&amp;T1", "PRE", 48)</f>
        <v>7346.25</v>
      </c>
      <c r="I56" s="38">
        <f>RTD("rtdtrading.rtdserver",, "T&amp;T1", "QUL", 48)</f>
        <v>1</v>
      </c>
      <c r="J56" s="39" t="str">
        <f>RTD("rtdtrading.rtdserver",, "T&amp;T1", "AGR", 48)</f>
        <v>Vendedor</v>
      </c>
    </row>
    <row r="57" spans="1:10" x14ac:dyDescent="0.25">
      <c r="A57" s="44" t="str">
        <f>RTD("rtdtrading.rtdserver",, "T&amp;T0", "DAT", 49)</f>
        <v>19:06:52.544</v>
      </c>
      <c r="B57" s="27">
        <f>RTD("rtdtrading.rtdserver",, "T&amp;T0", "PRE", 49)</f>
        <v>7347.5</v>
      </c>
      <c r="C57" s="28">
        <f>RTD("rtdtrading.rtdserver",, "T&amp;T0", "QUL", 49)</f>
        <v>1</v>
      </c>
      <c r="D57" s="28" t="str">
        <f>RTD("rtdtrading.rtdserver",, "T&amp;T0", "AGR", 49)</f>
        <v>Comprador</v>
      </c>
      <c r="G57" s="36" t="str">
        <f>RTD("rtdtrading.rtdserver",, "T&amp;T1", "DAT", 49)</f>
        <v>19:07:40.321</v>
      </c>
      <c r="H57" s="37">
        <f>RTD("rtdtrading.rtdserver",, "T&amp;T1", "PRE", 49)</f>
        <v>7346.25</v>
      </c>
      <c r="I57" s="38">
        <f>RTD("rtdtrading.rtdserver",, "T&amp;T1", "QUL", 49)</f>
        <v>13</v>
      </c>
      <c r="J57" s="39" t="str">
        <f>RTD("rtdtrading.rtdserver",, "T&amp;T1", "AGR", 49)</f>
        <v>Vendedor</v>
      </c>
    </row>
    <row r="58" spans="1:10" x14ac:dyDescent="0.25">
      <c r="A58" s="44" t="str">
        <f>RTD("rtdtrading.rtdserver",, "T&amp;T0", "DAT", 50)</f>
        <v>19:06:52.535</v>
      </c>
      <c r="B58" s="27">
        <f>RTD("rtdtrading.rtdserver",, "T&amp;T0", "PRE", 50)</f>
        <v>7347.5</v>
      </c>
      <c r="C58" s="28">
        <f>RTD("rtdtrading.rtdserver",, "T&amp;T0", "QUL", 50)</f>
        <v>6</v>
      </c>
      <c r="D58" s="28" t="str">
        <f>RTD("rtdtrading.rtdserver",, "T&amp;T0", "AGR", 50)</f>
        <v>Comprador</v>
      </c>
      <c r="G58" s="36" t="str">
        <f>RTD("rtdtrading.rtdserver",, "T&amp;T1", "DAT", 50)</f>
        <v>19:07:36.664</v>
      </c>
      <c r="H58" s="37">
        <f>RTD("rtdtrading.rtdserver",, "T&amp;T1", "PRE", 50)</f>
        <v>7346.5</v>
      </c>
      <c r="I58" s="38">
        <f>RTD("rtdtrading.rtdserver",, "T&amp;T1", "QUL", 50)</f>
        <v>2</v>
      </c>
      <c r="J58" s="39" t="str">
        <f>RTD("rtdtrading.rtdserver",, "T&amp;T1", "AGR", 50)</f>
        <v>Vendedor</v>
      </c>
    </row>
    <row r="59" spans="1:10" x14ac:dyDescent="0.25">
      <c r="A59" s="44" t="str">
        <f>RTD("rtdtrading.rtdserver",, "T&amp;T0", "DAT", 51)</f>
        <v>19:06:52.028</v>
      </c>
      <c r="B59" s="27">
        <f>RTD("rtdtrading.rtdserver",, "T&amp;T0", "PRE", 51)</f>
        <v>7347.25</v>
      </c>
      <c r="C59" s="28">
        <f>RTD("rtdtrading.rtdserver",, "T&amp;T0", "QUL", 51)</f>
        <v>3</v>
      </c>
      <c r="D59" s="28" t="str">
        <f>RTD("rtdtrading.rtdserver",, "T&amp;T0", "AGR", 51)</f>
        <v>Comprador</v>
      </c>
      <c r="G59" s="36" t="str">
        <f>RTD("rtdtrading.rtdserver",, "T&amp;T1", "DAT", 51)</f>
        <v>19:07:36.664</v>
      </c>
      <c r="H59" s="37">
        <f>RTD("rtdtrading.rtdserver",, "T&amp;T1", "PRE", 51)</f>
        <v>7346.5</v>
      </c>
      <c r="I59" s="38">
        <f>RTD("rtdtrading.rtdserver",, "T&amp;T1", "QUL", 51)</f>
        <v>2</v>
      </c>
      <c r="J59" s="39" t="str">
        <f>RTD("rtdtrading.rtdserver",, "T&amp;T1", "AGR", 51)</f>
        <v>Vendedor</v>
      </c>
    </row>
    <row r="60" spans="1:10" x14ac:dyDescent="0.25">
      <c r="A60" s="44" t="str">
        <f>RTD("rtdtrading.rtdserver",, "T&amp;T0", "DAT", 52)</f>
        <v>19:06:52.028</v>
      </c>
      <c r="B60" s="27">
        <f>RTD("rtdtrading.rtdserver",, "T&amp;T0", "PRE", 52)</f>
        <v>7347.25</v>
      </c>
      <c r="C60" s="28">
        <f>RTD("rtdtrading.rtdserver",, "T&amp;T0", "QUL", 52)</f>
        <v>1</v>
      </c>
      <c r="D60" s="28" t="str">
        <f>RTD("rtdtrading.rtdserver",, "T&amp;T0", "AGR", 52)</f>
        <v>Comprador</v>
      </c>
      <c r="G60" s="36" t="str">
        <f>RTD("rtdtrading.rtdserver",, "T&amp;T1", "DAT", 52)</f>
        <v>19:07:35.244</v>
      </c>
      <c r="H60" s="37">
        <f>RTD("rtdtrading.rtdserver",, "T&amp;T1", "PRE", 52)</f>
        <v>7346.5</v>
      </c>
      <c r="I60" s="38">
        <f>RTD("rtdtrading.rtdserver",, "T&amp;T1", "QUL", 52)</f>
        <v>1</v>
      </c>
      <c r="J60" s="39" t="str">
        <f>RTD("rtdtrading.rtdserver",, "T&amp;T1", "AGR", 52)</f>
        <v>Vendedor</v>
      </c>
    </row>
    <row r="61" spans="1:10" x14ac:dyDescent="0.25">
      <c r="A61" s="44" t="str">
        <f>RTD("rtdtrading.rtdserver",, "T&amp;T0", "DAT", 53)</f>
        <v>19:06:52.027</v>
      </c>
      <c r="B61" s="27">
        <f>RTD("rtdtrading.rtdserver",, "T&amp;T0", "PRE", 53)</f>
        <v>7347.25</v>
      </c>
      <c r="C61" s="28">
        <f>RTD("rtdtrading.rtdserver",, "T&amp;T0", "QUL", 53)</f>
        <v>4</v>
      </c>
      <c r="D61" s="28" t="str">
        <f>RTD("rtdtrading.rtdserver",, "T&amp;T0", "AGR", 53)</f>
        <v>Comprador</v>
      </c>
      <c r="G61" s="36" t="str">
        <f>RTD("rtdtrading.rtdserver",, "T&amp;T1", "DAT", 53)</f>
        <v>19:07:35.244</v>
      </c>
      <c r="H61" s="37">
        <f>RTD("rtdtrading.rtdserver",, "T&amp;T1", "PRE", 53)</f>
        <v>7346.5</v>
      </c>
      <c r="I61" s="38">
        <f>RTD("rtdtrading.rtdserver",, "T&amp;T1", "QUL", 53)</f>
        <v>3</v>
      </c>
      <c r="J61" s="39" t="str">
        <f>RTD("rtdtrading.rtdserver",, "T&amp;T1", "AGR", 53)</f>
        <v>Vendedor</v>
      </c>
    </row>
    <row r="62" spans="1:10" x14ac:dyDescent="0.25">
      <c r="A62" s="44" t="str">
        <f>RTD("rtdtrading.rtdserver",, "T&amp;T0", "DAT", 54)</f>
        <v>19:06:51.291</v>
      </c>
      <c r="B62" s="27">
        <f>RTD("rtdtrading.rtdserver",, "T&amp;T0", "PRE", 54)</f>
        <v>7347.25</v>
      </c>
      <c r="C62" s="28">
        <f>RTD("rtdtrading.rtdserver",, "T&amp;T0", "QUL", 54)</f>
        <v>2</v>
      </c>
      <c r="D62" s="28" t="str">
        <f>RTD("rtdtrading.rtdserver",, "T&amp;T0", "AGR", 54)</f>
        <v>Comprador</v>
      </c>
      <c r="G62" s="36" t="str">
        <f>RTD("rtdtrading.rtdserver",, "T&amp;T1", "DAT", 54)</f>
        <v>19:07:35.001</v>
      </c>
      <c r="H62" s="37">
        <f>RTD("rtdtrading.rtdserver",, "T&amp;T1", "PRE", 54)</f>
        <v>7346.75</v>
      </c>
      <c r="I62" s="38">
        <f>RTD("rtdtrading.rtdserver",, "T&amp;T1", "QUL", 54)</f>
        <v>1</v>
      </c>
      <c r="J62" s="39" t="str">
        <f>RTD("rtdtrading.rtdserver",, "T&amp;T1", "AGR", 54)</f>
        <v>Vendedor</v>
      </c>
    </row>
    <row r="63" spans="1:10" x14ac:dyDescent="0.25">
      <c r="A63" s="44" t="str">
        <f>RTD("rtdtrading.rtdserver",, "T&amp;T0", "DAT", 55)</f>
        <v>19:06:51.291</v>
      </c>
      <c r="B63" s="27">
        <f>RTD("rtdtrading.rtdserver",, "T&amp;T0", "PRE", 55)</f>
        <v>7347</v>
      </c>
      <c r="C63" s="28">
        <f>RTD("rtdtrading.rtdserver",, "T&amp;T0", "QUL", 55)</f>
        <v>3</v>
      </c>
      <c r="D63" s="28" t="str">
        <f>RTD("rtdtrading.rtdserver",, "T&amp;T0", "AGR", 55)</f>
        <v>Comprador</v>
      </c>
      <c r="G63" s="36" t="str">
        <f>RTD("rtdtrading.rtdserver",, "T&amp;T1", "DAT", 55)</f>
        <v>19:07:31.419</v>
      </c>
      <c r="H63" s="37">
        <f>RTD("rtdtrading.rtdserver",, "T&amp;T1", "PRE", 55)</f>
        <v>7346.75</v>
      </c>
      <c r="I63" s="38">
        <f>RTD("rtdtrading.rtdserver",, "T&amp;T1", "QUL", 55)</f>
        <v>1</v>
      </c>
      <c r="J63" s="39" t="str">
        <f>RTD("rtdtrading.rtdserver",, "T&amp;T1", "AGR", 55)</f>
        <v>Vendedor</v>
      </c>
    </row>
    <row r="64" spans="1:10" x14ac:dyDescent="0.25">
      <c r="A64" s="44" t="str">
        <f>RTD("rtdtrading.rtdserver",, "T&amp;T0", "DAT", 56)</f>
        <v>19:06:49.799</v>
      </c>
      <c r="B64" s="27">
        <f>RTD("rtdtrading.rtdserver",, "T&amp;T0", "PRE", 56)</f>
        <v>7347</v>
      </c>
      <c r="C64" s="28">
        <f>RTD("rtdtrading.rtdserver",, "T&amp;T0", "QUL", 56)</f>
        <v>1</v>
      </c>
      <c r="D64" s="28" t="str">
        <f>RTD("rtdtrading.rtdserver",, "T&amp;T0", "AGR", 56)</f>
        <v>Comprador</v>
      </c>
      <c r="G64" s="36" t="str">
        <f>RTD("rtdtrading.rtdserver",, "T&amp;T1", "DAT", 56)</f>
        <v>19:07:30.519</v>
      </c>
      <c r="H64" s="37">
        <f>RTD("rtdtrading.rtdserver",, "T&amp;T1", "PRE", 56)</f>
        <v>7346.75</v>
      </c>
      <c r="I64" s="38">
        <f>RTD("rtdtrading.rtdserver",, "T&amp;T1", "QUL", 56)</f>
        <v>1</v>
      </c>
      <c r="J64" s="39" t="str">
        <f>RTD("rtdtrading.rtdserver",, "T&amp;T1", "AGR", 56)</f>
        <v>Vendedor</v>
      </c>
    </row>
    <row r="65" spans="1:10" x14ac:dyDescent="0.25">
      <c r="A65" s="44" t="str">
        <f>RTD("rtdtrading.rtdserver",, "T&amp;T0", "DAT", 57)</f>
        <v>19:06:49.187</v>
      </c>
      <c r="B65" s="27">
        <f>RTD("rtdtrading.rtdserver",, "T&amp;T0", "PRE", 57)</f>
        <v>7347</v>
      </c>
      <c r="C65" s="28">
        <f>RTD("rtdtrading.rtdserver",, "T&amp;T0", "QUL", 57)</f>
        <v>1</v>
      </c>
      <c r="D65" s="28" t="str">
        <f>RTD("rtdtrading.rtdserver",, "T&amp;T0", "AGR", 57)</f>
        <v>Comprador</v>
      </c>
      <c r="G65" s="36" t="str">
        <f>RTD("rtdtrading.rtdserver",, "T&amp;T1", "DAT", 57)</f>
        <v>19:07:30.217</v>
      </c>
      <c r="H65" s="37">
        <f>RTD("rtdtrading.rtdserver",, "T&amp;T1", "PRE", 57)</f>
        <v>7346.75</v>
      </c>
      <c r="I65" s="38">
        <f>RTD("rtdtrading.rtdserver",, "T&amp;T1", "QUL", 57)</f>
        <v>1</v>
      </c>
      <c r="J65" s="39" t="str">
        <f>RTD("rtdtrading.rtdserver",, "T&amp;T1", "AGR", 57)</f>
        <v>Vendedor</v>
      </c>
    </row>
    <row r="66" spans="1:10" x14ac:dyDescent="0.25">
      <c r="A66" s="44" t="str">
        <f>RTD("rtdtrading.rtdserver",, "T&amp;T0", "DAT", 58)</f>
        <v>19:06:49.070</v>
      </c>
      <c r="B66" s="27">
        <f>RTD("rtdtrading.rtdserver",, "T&amp;T0", "PRE", 58)</f>
        <v>7347</v>
      </c>
      <c r="C66" s="28">
        <f>RTD("rtdtrading.rtdserver",, "T&amp;T0", "QUL", 58)</f>
        <v>1</v>
      </c>
      <c r="D66" s="28" t="str">
        <f>RTD("rtdtrading.rtdserver",, "T&amp;T0", "AGR", 58)</f>
        <v>Comprador</v>
      </c>
      <c r="G66" s="36" t="str">
        <f>RTD("rtdtrading.rtdserver",, "T&amp;T1", "DAT", 58)</f>
        <v>19:07:27.682</v>
      </c>
      <c r="H66" s="37">
        <f>RTD("rtdtrading.rtdserver",, "T&amp;T1", "PRE", 58)</f>
        <v>7346.5</v>
      </c>
      <c r="I66" s="38">
        <f>RTD("rtdtrading.rtdserver",, "T&amp;T1", "QUL", 58)</f>
        <v>1</v>
      </c>
      <c r="J66" s="39" t="str">
        <f>RTD("rtdtrading.rtdserver",, "T&amp;T1", "AGR", 58)</f>
        <v>Vendedor</v>
      </c>
    </row>
    <row r="67" spans="1:10" x14ac:dyDescent="0.25">
      <c r="A67" s="44" t="str">
        <f>RTD("rtdtrading.rtdserver",, "T&amp;T0", "DAT", 59)</f>
        <v>19:06:48.615</v>
      </c>
      <c r="B67" s="27">
        <f>RTD("rtdtrading.rtdserver",, "T&amp;T0", "PRE", 59)</f>
        <v>7347</v>
      </c>
      <c r="C67" s="28">
        <f>RTD("rtdtrading.rtdserver",, "T&amp;T0", "QUL", 59)</f>
        <v>1</v>
      </c>
      <c r="D67" s="28" t="str">
        <f>RTD("rtdtrading.rtdserver",, "T&amp;T0", "AGR", 59)</f>
        <v>Comprador</v>
      </c>
      <c r="G67" s="36" t="str">
        <f>RTD("rtdtrading.rtdserver",, "T&amp;T1", "DAT", 59)</f>
        <v>19:07:27.532</v>
      </c>
      <c r="H67" s="37">
        <f>RTD("rtdtrading.rtdserver",, "T&amp;T1", "PRE", 59)</f>
        <v>7346.5</v>
      </c>
      <c r="I67" s="38">
        <f>RTD("rtdtrading.rtdserver",, "T&amp;T1", "QUL", 59)</f>
        <v>1</v>
      </c>
      <c r="J67" s="39" t="str">
        <f>RTD("rtdtrading.rtdserver",, "T&amp;T1", "AGR", 59)</f>
        <v>Vendedor</v>
      </c>
    </row>
    <row r="68" spans="1:10" x14ac:dyDescent="0.25">
      <c r="A68" s="44" t="str">
        <f>RTD("rtdtrading.rtdserver",, "T&amp;T0", "DAT", 60)</f>
        <v>19:06:48.615</v>
      </c>
      <c r="B68" s="27">
        <f>RTD("rtdtrading.rtdserver",, "T&amp;T0", "PRE", 60)</f>
        <v>7346.75</v>
      </c>
      <c r="C68" s="28">
        <f>RTD("rtdtrading.rtdserver",, "T&amp;T0", "QUL", 60)</f>
        <v>1</v>
      </c>
      <c r="D68" s="28" t="str">
        <f>RTD("rtdtrading.rtdserver",, "T&amp;T0", "AGR", 60)</f>
        <v>Comprador</v>
      </c>
      <c r="G68" s="36" t="str">
        <f>RTD("rtdtrading.rtdserver",, "T&amp;T1", "DAT", 60)</f>
        <v>19:07:27.181</v>
      </c>
      <c r="H68" s="37">
        <f>RTD("rtdtrading.rtdserver",, "T&amp;T1", "PRE", 60)</f>
        <v>7346.5</v>
      </c>
      <c r="I68" s="38">
        <f>RTD("rtdtrading.rtdserver",, "T&amp;T1", "QUL", 60)</f>
        <v>1</v>
      </c>
      <c r="J68" s="39" t="str">
        <f>RTD("rtdtrading.rtdserver",, "T&amp;T1", "AGR", 60)</f>
        <v>Vendedor</v>
      </c>
    </row>
    <row r="69" spans="1:10" x14ac:dyDescent="0.25">
      <c r="A69" s="44" t="str">
        <f>RTD("rtdtrading.rtdserver",, "T&amp;T0", "DAT", 61)</f>
        <v>19:06:48.560</v>
      </c>
      <c r="B69" s="27">
        <f>RTD("rtdtrading.rtdserver",, "T&amp;T0", "PRE", 61)</f>
        <v>7346.75</v>
      </c>
      <c r="C69" s="28">
        <f>RTD("rtdtrading.rtdserver",, "T&amp;T0", "QUL", 61)</f>
        <v>1</v>
      </c>
      <c r="D69" s="28" t="str">
        <f>RTD("rtdtrading.rtdserver",, "T&amp;T0", "AGR", 61)</f>
        <v>Comprador</v>
      </c>
      <c r="G69" s="36" t="str">
        <f>RTD("rtdtrading.rtdserver",, "T&amp;T1", "DAT", 61)</f>
        <v>19:07:26.047</v>
      </c>
      <c r="H69" s="37">
        <f>RTD("rtdtrading.rtdserver",, "T&amp;T1", "PRE", 61)</f>
        <v>7346.5</v>
      </c>
      <c r="I69" s="38">
        <f>RTD("rtdtrading.rtdserver",, "T&amp;T1", "QUL", 61)</f>
        <v>1</v>
      </c>
      <c r="J69" s="39" t="str">
        <f>RTD("rtdtrading.rtdserver",, "T&amp;T1", "AGR", 61)</f>
        <v>Vendedor</v>
      </c>
    </row>
    <row r="70" spans="1:10" x14ac:dyDescent="0.25">
      <c r="A70" s="44" t="str">
        <f>RTD("rtdtrading.rtdserver",, "T&amp;T0", "DAT", 62)</f>
        <v>19:06:48.560</v>
      </c>
      <c r="B70" s="27">
        <f>RTD("rtdtrading.rtdserver",, "T&amp;T0", "PRE", 62)</f>
        <v>7346.75</v>
      </c>
      <c r="C70" s="28">
        <f>RTD("rtdtrading.rtdserver",, "T&amp;T0", "QUL", 62)</f>
        <v>2</v>
      </c>
      <c r="D70" s="28" t="str">
        <f>RTD("rtdtrading.rtdserver",, "T&amp;T0", "AGR", 62)</f>
        <v>Comprador</v>
      </c>
      <c r="G70" s="36" t="str">
        <f>RTD("rtdtrading.rtdserver",, "T&amp;T1", "DAT", 62)</f>
        <v>19:07:25.468</v>
      </c>
      <c r="H70" s="37">
        <f>RTD("rtdtrading.rtdserver",, "T&amp;T1", "PRE", 62)</f>
        <v>7346.5</v>
      </c>
      <c r="I70" s="38">
        <f>RTD("rtdtrading.rtdserver",, "T&amp;T1", "QUL", 62)</f>
        <v>1</v>
      </c>
      <c r="J70" s="39" t="str">
        <f>RTD("rtdtrading.rtdserver",, "T&amp;T1", "AGR", 62)</f>
        <v>Vendedor</v>
      </c>
    </row>
    <row r="71" spans="1:10" x14ac:dyDescent="0.25">
      <c r="A71" s="44" t="str">
        <f>RTD("rtdtrading.rtdserver",, "T&amp;T0", "DAT", 63)</f>
        <v>19:06:48.559</v>
      </c>
      <c r="B71" s="27">
        <f>RTD("rtdtrading.rtdserver",, "T&amp;T0", "PRE", 63)</f>
        <v>7347</v>
      </c>
      <c r="C71" s="28">
        <f>RTD("rtdtrading.rtdserver",, "T&amp;T0", "QUL", 63)</f>
        <v>1</v>
      </c>
      <c r="D71" s="28" t="str">
        <f>RTD("rtdtrading.rtdserver",, "T&amp;T0", "AGR", 63)</f>
        <v>Comprador</v>
      </c>
      <c r="G71" s="36" t="str">
        <f>RTD("rtdtrading.rtdserver",, "T&amp;T1", "DAT", 63)</f>
        <v>19:07:25.405</v>
      </c>
      <c r="H71" s="37">
        <f>RTD("rtdtrading.rtdserver",, "T&amp;T1", "PRE", 63)</f>
        <v>7346.5</v>
      </c>
      <c r="I71" s="38">
        <f>RTD("rtdtrading.rtdserver",, "T&amp;T1", "QUL", 63)</f>
        <v>1</v>
      </c>
      <c r="J71" s="39" t="str">
        <f>RTD("rtdtrading.rtdserver",, "T&amp;T1", "AGR", 63)</f>
        <v>Vendedor</v>
      </c>
    </row>
    <row r="72" spans="1:10" x14ac:dyDescent="0.25">
      <c r="A72" s="44" t="str">
        <f>RTD("rtdtrading.rtdserver",, "T&amp;T0", "DAT", 64)</f>
        <v>19:06:47.255</v>
      </c>
      <c r="B72" s="27">
        <f>RTD("rtdtrading.rtdserver",, "T&amp;T0", "PRE", 64)</f>
        <v>7347.5</v>
      </c>
      <c r="C72" s="28">
        <f>RTD("rtdtrading.rtdserver",, "T&amp;T0", "QUL", 64)</f>
        <v>1</v>
      </c>
      <c r="D72" s="28" t="str">
        <f>RTD("rtdtrading.rtdserver",, "T&amp;T0", "AGR", 64)</f>
        <v>Comprador</v>
      </c>
      <c r="G72" s="36" t="str">
        <f>RTD("rtdtrading.rtdserver",, "T&amp;T1", "DAT", 64)</f>
        <v>19:07:24.575</v>
      </c>
      <c r="H72" s="37">
        <f>RTD("rtdtrading.rtdserver",, "T&amp;T1", "PRE", 64)</f>
        <v>7346.25</v>
      </c>
      <c r="I72" s="38">
        <f>RTD("rtdtrading.rtdserver",, "T&amp;T1", "QUL", 64)</f>
        <v>1</v>
      </c>
      <c r="J72" s="39" t="str">
        <f>RTD("rtdtrading.rtdserver",, "T&amp;T1", "AGR", 64)</f>
        <v>Vendedor</v>
      </c>
    </row>
    <row r="73" spans="1:10" x14ac:dyDescent="0.25">
      <c r="A73" s="44" t="str">
        <f>RTD("rtdtrading.rtdserver",, "T&amp;T0", "DAT", 65)</f>
        <v>19:06:46.642</v>
      </c>
      <c r="B73" s="27">
        <f>RTD("rtdtrading.rtdserver",, "T&amp;T0", "PRE", 65)</f>
        <v>7347.75</v>
      </c>
      <c r="C73" s="28">
        <f>RTD("rtdtrading.rtdserver",, "T&amp;T0", "QUL", 65)</f>
        <v>1</v>
      </c>
      <c r="D73" s="28" t="str">
        <f>RTD("rtdtrading.rtdserver",, "T&amp;T0", "AGR", 65)</f>
        <v>Comprador</v>
      </c>
      <c r="G73" s="36" t="str">
        <f>RTD("rtdtrading.rtdserver",, "T&amp;T1", "DAT", 65)</f>
        <v>19:07:24.481</v>
      </c>
      <c r="H73" s="37">
        <f>RTD("rtdtrading.rtdserver",, "T&amp;T1", "PRE", 65)</f>
        <v>7346.5</v>
      </c>
      <c r="I73" s="38">
        <f>RTD("rtdtrading.rtdserver",, "T&amp;T1", "QUL", 65)</f>
        <v>1</v>
      </c>
      <c r="J73" s="39" t="str">
        <f>RTD("rtdtrading.rtdserver",, "T&amp;T1", "AGR", 65)</f>
        <v>Vendedor</v>
      </c>
    </row>
    <row r="74" spans="1:10" x14ac:dyDescent="0.25">
      <c r="A74" s="44" t="str">
        <f>RTD("rtdtrading.rtdserver",, "T&amp;T0", "DAT", 66)</f>
        <v>19:06:45.336</v>
      </c>
      <c r="B74" s="27">
        <f>RTD("rtdtrading.rtdserver",, "T&amp;T0", "PRE", 66)</f>
        <v>7347.5</v>
      </c>
      <c r="C74" s="28">
        <f>RTD("rtdtrading.rtdserver",, "T&amp;T0", "QUL", 66)</f>
        <v>1</v>
      </c>
      <c r="D74" s="28" t="str">
        <f>RTD("rtdtrading.rtdserver",, "T&amp;T0", "AGR", 66)</f>
        <v>Comprador</v>
      </c>
      <c r="G74" s="36" t="str">
        <f>RTD("rtdtrading.rtdserver",, "T&amp;T1", "DAT", 66)</f>
        <v>19:07:24.018</v>
      </c>
      <c r="H74" s="37">
        <f>RTD("rtdtrading.rtdserver",, "T&amp;T1", "PRE", 66)</f>
        <v>7346.5</v>
      </c>
      <c r="I74" s="38">
        <f>RTD("rtdtrading.rtdserver",, "T&amp;T1", "QUL", 66)</f>
        <v>1</v>
      </c>
      <c r="J74" s="39" t="str">
        <f>RTD("rtdtrading.rtdserver",, "T&amp;T1", "AGR", 66)</f>
        <v>Vendedor</v>
      </c>
    </row>
    <row r="75" spans="1:10" x14ac:dyDescent="0.25">
      <c r="A75" s="44" t="str">
        <f>RTD("rtdtrading.rtdserver",, "T&amp;T0", "DAT", 67)</f>
        <v>19:06:42.969</v>
      </c>
      <c r="B75" s="27">
        <f>RTD("rtdtrading.rtdserver",, "T&amp;T0", "PRE", 67)</f>
        <v>7347.5</v>
      </c>
      <c r="C75" s="28">
        <f>RTD("rtdtrading.rtdserver",, "T&amp;T0", "QUL", 67)</f>
        <v>5</v>
      </c>
      <c r="D75" s="28" t="str">
        <f>RTD("rtdtrading.rtdserver",, "T&amp;T0", "AGR", 67)</f>
        <v>Comprador</v>
      </c>
      <c r="G75" s="36" t="str">
        <f>RTD("rtdtrading.rtdserver",, "T&amp;T1", "DAT", 67)</f>
        <v>19:07:23.988</v>
      </c>
      <c r="H75" s="37">
        <f>RTD("rtdtrading.rtdserver",, "T&amp;T1", "PRE", 67)</f>
        <v>7346.5</v>
      </c>
      <c r="I75" s="38">
        <f>RTD("rtdtrading.rtdserver",, "T&amp;T1", "QUL", 67)</f>
        <v>1</v>
      </c>
      <c r="J75" s="39" t="str">
        <f>RTD("rtdtrading.rtdserver",, "T&amp;T1", "AGR", 67)</f>
        <v>Vendedor</v>
      </c>
    </row>
    <row r="76" spans="1:10" x14ac:dyDescent="0.25">
      <c r="A76" s="44" t="str">
        <f>RTD("rtdtrading.rtdserver",, "T&amp;T0", "DAT", 68)</f>
        <v>19:06:40.998</v>
      </c>
      <c r="B76" s="27">
        <f>RTD("rtdtrading.rtdserver",, "T&amp;T0", "PRE", 68)</f>
        <v>7347.5</v>
      </c>
      <c r="C76" s="28">
        <f>RTD("rtdtrading.rtdserver",, "T&amp;T0", "QUL", 68)</f>
        <v>1</v>
      </c>
      <c r="D76" s="28" t="str">
        <f>RTD("rtdtrading.rtdserver",, "T&amp;T0", "AGR", 68)</f>
        <v>Comprador</v>
      </c>
      <c r="G76" s="36" t="str">
        <f>RTD("rtdtrading.rtdserver",, "T&amp;T1", "DAT", 68)</f>
        <v>19:07:22.761</v>
      </c>
      <c r="H76" s="37">
        <f>RTD("rtdtrading.rtdserver",, "T&amp;T1", "PRE", 68)</f>
        <v>7346.5</v>
      </c>
      <c r="I76" s="38">
        <f>RTD("rtdtrading.rtdserver",, "T&amp;T1", "QUL", 68)</f>
        <v>1</v>
      </c>
      <c r="J76" s="39" t="str">
        <f>RTD("rtdtrading.rtdserver",, "T&amp;T1", "AGR", 68)</f>
        <v>Vendedor</v>
      </c>
    </row>
    <row r="77" spans="1:10" x14ac:dyDescent="0.25">
      <c r="A77" s="44" t="str">
        <f>RTD("rtdtrading.rtdserver",, "T&amp;T0", "DAT", 69)</f>
        <v>19:06:40.697</v>
      </c>
      <c r="B77" s="27">
        <f>RTD("rtdtrading.rtdserver",, "T&amp;T0", "PRE", 69)</f>
        <v>7347.75</v>
      </c>
      <c r="C77" s="28">
        <f>RTD("rtdtrading.rtdserver",, "T&amp;T0", "QUL", 69)</f>
        <v>1</v>
      </c>
      <c r="D77" s="28" t="str">
        <f>RTD("rtdtrading.rtdserver",, "T&amp;T0", "AGR", 69)</f>
        <v>Comprador</v>
      </c>
      <c r="G77" s="36" t="str">
        <f>RTD("rtdtrading.rtdserver",, "T&amp;T1", "DAT", 69)</f>
        <v>19:07:22.741</v>
      </c>
      <c r="H77" s="37">
        <f>RTD("rtdtrading.rtdserver",, "T&amp;T1", "PRE", 69)</f>
        <v>7346.75</v>
      </c>
      <c r="I77" s="38">
        <f>RTD("rtdtrading.rtdserver",, "T&amp;T1", "QUL", 69)</f>
        <v>4</v>
      </c>
      <c r="J77" s="39" t="str">
        <f>RTD("rtdtrading.rtdserver",, "T&amp;T1", "AGR", 69)</f>
        <v>Vendedor</v>
      </c>
    </row>
    <row r="78" spans="1:10" x14ac:dyDescent="0.25">
      <c r="A78" s="44" t="str">
        <f>RTD("rtdtrading.rtdserver",, "T&amp;T0", "DAT", 70)</f>
        <v>19:06:38.610</v>
      </c>
      <c r="B78" s="27">
        <f>RTD("rtdtrading.rtdserver",, "T&amp;T0", "PRE", 70)</f>
        <v>7347.75</v>
      </c>
      <c r="C78" s="28">
        <f>RTD("rtdtrading.rtdserver",, "T&amp;T0", "QUL", 70)</f>
        <v>1</v>
      </c>
      <c r="D78" s="28" t="str">
        <f>RTD("rtdtrading.rtdserver",, "T&amp;T0", "AGR", 70)</f>
        <v>Comprador</v>
      </c>
      <c r="G78" s="36" t="str">
        <f>RTD("rtdtrading.rtdserver",, "T&amp;T1", "DAT", 70)</f>
        <v>19:07:22.740</v>
      </c>
      <c r="H78" s="37">
        <f>RTD("rtdtrading.rtdserver",, "T&amp;T1", "PRE", 70)</f>
        <v>7346.75</v>
      </c>
      <c r="I78" s="38">
        <f>RTD("rtdtrading.rtdserver",, "T&amp;T1", "QUL", 70)</f>
        <v>5</v>
      </c>
      <c r="J78" s="39" t="str">
        <f>RTD("rtdtrading.rtdserver",, "T&amp;T1", "AGR", 70)</f>
        <v>Vendedor</v>
      </c>
    </row>
    <row r="79" spans="1:10" x14ac:dyDescent="0.25">
      <c r="A79" s="44" t="str">
        <f>RTD("rtdtrading.rtdserver",, "T&amp;T0", "DAT", 71)</f>
        <v>19:06:38.587</v>
      </c>
      <c r="B79" s="27">
        <f>RTD("rtdtrading.rtdserver",, "T&amp;T0", "PRE", 71)</f>
        <v>7347.75</v>
      </c>
      <c r="C79" s="28">
        <f>RTD("rtdtrading.rtdserver",, "T&amp;T0", "QUL", 71)</f>
        <v>1</v>
      </c>
      <c r="D79" s="28" t="str">
        <f>RTD("rtdtrading.rtdserver",, "T&amp;T0", "AGR", 71)</f>
        <v>Comprador</v>
      </c>
      <c r="G79" s="36" t="str">
        <f>RTD("rtdtrading.rtdserver",, "T&amp;T1", "DAT", 71)</f>
        <v>19:07:21.252</v>
      </c>
      <c r="H79" s="37">
        <f>RTD("rtdtrading.rtdserver",, "T&amp;T1", "PRE", 71)</f>
        <v>7346.75</v>
      </c>
      <c r="I79" s="38">
        <f>RTD("rtdtrading.rtdserver",, "T&amp;T1", "QUL", 71)</f>
        <v>1</v>
      </c>
      <c r="J79" s="39" t="str">
        <f>RTD("rtdtrading.rtdserver",, "T&amp;T1", "AGR", 71)</f>
        <v>Vendedor</v>
      </c>
    </row>
    <row r="80" spans="1:10" x14ac:dyDescent="0.25">
      <c r="A80" s="44" t="str">
        <f>RTD("rtdtrading.rtdserver",, "T&amp;T0", "DAT", 72)</f>
        <v>19:06:38.453</v>
      </c>
      <c r="B80" s="27">
        <f>RTD("rtdtrading.rtdserver",, "T&amp;T0", "PRE", 72)</f>
        <v>7347.75</v>
      </c>
      <c r="C80" s="28">
        <f>RTD("rtdtrading.rtdserver",, "T&amp;T0", "QUL", 72)</f>
        <v>1</v>
      </c>
      <c r="D80" s="28" t="str">
        <f>RTD("rtdtrading.rtdserver",, "T&amp;T0", "AGR", 72)</f>
        <v>Comprador</v>
      </c>
      <c r="G80" s="36" t="str">
        <f>RTD("rtdtrading.rtdserver",, "T&amp;T1", "DAT", 72)</f>
        <v>19:07:20.596</v>
      </c>
      <c r="H80" s="37">
        <f>RTD("rtdtrading.rtdserver",, "T&amp;T1", "PRE", 72)</f>
        <v>7347</v>
      </c>
      <c r="I80" s="38">
        <f>RTD("rtdtrading.rtdserver",, "T&amp;T1", "QUL", 72)</f>
        <v>1</v>
      </c>
      <c r="J80" s="39" t="str">
        <f>RTD("rtdtrading.rtdserver",, "T&amp;T1", "AGR", 72)</f>
        <v>Vendedor</v>
      </c>
    </row>
    <row r="81" spans="1:10" x14ac:dyDescent="0.25">
      <c r="A81" s="44" t="str">
        <f>RTD("rtdtrading.rtdserver",, "T&amp;T0", "DAT", 73)</f>
        <v>19:06:38.000</v>
      </c>
      <c r="B81" s="27">
        <f>RTD("rtdtrading.rtdserver",, "T&amp;T0", "PRE", 73)</f>
        <v>7347.75</v>
      </c>
      <c r="C81" s="28">
        <f>RTD("rtdtrading.rtdserver",, "T&amp;T0", "QUL", 73)</f>
        <v>1</v>
      </c>
      <c r="D81" s="28" t="str">
        <f>RTD("rtdtrading.rtdserver",, "T&amp;T0", "AGR", 73)</f>
        <v>Comprador</v>
      </c>
      <c r="G81" s="36" t="str">
        <f>RTD("rtdtrading.rtdserver",, "T&amp;T1", "DAT", 73)</f>
        <v>19:07:17.156</v>
      </c>
      <c r="H81" s="37">
        <f>RTD("rtdtrading.rtdserver",, "T&amp;T1", "PRE", 73)</f>
        <v>7347</v>
      </c>
      <c r="I81" s="38">
        <f>RTD("rtdtrading.rtdserver",, "T&amp;T1", "QUL", 73)</f>
        <v>1</v>
      </c>
      <c r="J81" s="39" t="str">
        <f>RTD("rtdtrading.rtdserver",, "T&amp;T1", "AGR", 73)</f>
        <v>Vendedor</v>
      </c>
    </row>
    <row r="82" spans="1:10" x14ac:dyDescent="0.25">
      <c r="A82" s="44" t="str">
        <f>RTD("rtdtrading.rtdserver",, "T&amp;T0", "DAT", 74)</f>
        <v>19:06:36.815</v>
      </c>
      <c r="B82" s="27">
        <f>RTD("rtdtrading.rtdserver",, "T&amp;T0", "PRE", 74)</f>
        <v>7347.25</v>
      </c>
      <c r="C82" s="28">
        <f>RTD("rtdtrading.rtdserver",, "T&amp;T0", "QUL", 74)</f>
        <v>7</v>
      </c>
      <c r="D82" s="28" t="str">
        <f>RTD("rtdtrading.rtdserver",, "T&amp;T0", "AGR", 74)</f>
        <v>Comprador</v>
      </c>
      <c r="G82" s="36" t="str">
        <f>RTD("rtdtrading.rtdserver",, "T&amp;T1", "DAT", 74)</f>
        <v>19:07:16.774</v>
      </c>
      <c r="H82" s="37">
        <f>RTD("rtdtrading.rtdserver",, "T&amp;T1", "PRE", 74)</f>
        <v>7346.75</v>
      </c>
      <c r="I82" s="38">
        <f>RTD("rtdtrading.rtdserver",, "T&amp;T1", "QUL", 74)</f>
        <v>1</v>
      </c>
      <c r="J82" s="39" t="str">
        <f>RTD("rtdtrading.rtdserver",, "T&amp;T1", "AGR", 74)</f>
        <v>Vendedor</v>
      </c>
    </row>
    <row r="83" spans="1:10" x14ac:dyDescent="0.25">
      <c r="A83" s="44" t="str">
        <f>RTD("rtdtrading.rtdserver",, "T&amp;T0", "DAT", 75)</f>
        <v>19:06:36.778</v>
      </c>
      <c r="B83" s="27">
        <f>RTD("rtdtrading.rtdserver",, "T&amp;T0", "PRE", 75)</f>
        <v>7347.75</v>
      </c>
      <c r="C83" s="28">
        <f>RTD("rtdtrading.rtdserver",, "T&amp;T0", "QUL", 75)</f>
        <v>11</v>
      </c>
      <c r="D83" s="28" t="str">
        <f>RTD("rtdtrading.rtdserver",, "T&amp;T0", "AGR", 75)</f>
        <v>Comprador</v>
      </c>
      <c r="G83" s="36" t="str">
        <f>RTD("rtdtrading.rtdserver",, "T&amp;T1", "DAT", 75)</f>
        <v>19:07:13.783</v>
      </c>
      <c r="H83" s="37">
        <f>RTD("rtdtrading.rtdserver",, "T&amp;T1", "PRE", 75)</f>
        <v>7347</v>
      </c>
      <c r="I83" s="38">
        <f>RTD("rtdtrading.rtdserver",, "T&amp;T1", "QUL", 75)</f>
        <v>1</v>
      </c>
      <c r="J83" s="39" t="str">
        <f>RTD("rtdtrading.rtdserver",, "T&amp;T1", "AGR", 75)</f>
        <v>Vendedor</v>
      </c>
    </row>
    <row r="84" spans="1:10" x14ac:dyDescent="0.25">
      <c r="A84" s="44" t="str">
        <f>RTD("rtdtrading.rtdserver",, "T&amp;T0", "DAT", 76)</f>
        <v>19:06:36.778</v>
      </c>
      <c r="B84" s="27">
        <f>RTD("rtdtrading.rtdserver",, "T&amp;T0", "PRE", 76)</f>
        <v>7347.5</v>
      </c>
      <c r="C84" s="28">
        <f>RTD("rtdtrading.rtdserver",, "T&amp;T0", "QUL", 76)</f>
        <v>10</v>
      </c>
      <c r="D84" s="28" t="str">
        <f>RTD("rtdtrading.rtdserver",, "T&amp;T0", "AGR", 76)</f>
        <v>Comprador</v>
      </c>
      <c r="G84" s="36" t="str">
        <f>RTD("rtdtrading.rtdserver",, "T&amp;T1", "DAT", 76)</f>
        <v>19:07:13.782</v>
      </c>
      <c r="H84" s="37">
        <f>RTD("rtdtrading.rtdserver",, "T&amp;T1", "PRE", 76)</f>
        <v>7347</v>
      </c>
      <c r="I84" s="38">
        <f>RTD("rtdtrading.rtdserver",, "T&amp;T1", "QUL", 76)</f>
        <v>6</v>
      </c>
      <c r="J84" s="39" t="str">
        <f>RTD("rtdtrading.rtdserver",, "T&amp;T1", "AGR", 76)</f>
        <v>Vendedor</v>
      </c>
    </row>
    <row r="85" spans="1:10" x14ac:dyDescent="0.25">
      <c r="A85" s="44" t="str">
        <f>RTD("rtdtrading.rtdserver",, "T&amp;T0", "DAT", 77)</f>
        <v>19:06:36.778</v>
      </c>
      <c r="B85" s="27">
        <f>RTD("rtdtrading.rtdserver",, "T&amp;T0", "PRE", 77)</f>
        <v>7347.25</v>
      </c>
      <c r="C85" s="28">
        <f>RTD("rtdtrading.rtdserver",, "T&amp;T0", "QUL", 77)</f>
        <v>4</v>
      </c>
      <c r="D85" s="28" t="str">
        <f>RTD("rtdtrading.rtdserver",, "T&amp;T0", "AGR", 77)</f>
        <v>Comprador</v>
      </c>
      <c r="G85" s="36" t="str">
        <f>RTD("rtdtrading.rtdserver",, "T&amp;T1", "DAT", 77)</f>
        <v>19:07:13.749</v>
      </c>
      <c r="H85" s="37">
        <f>RTD("rtdtrading.rtdserver",, "T&amp;T1", "PRE", 77)</f>
        <v>7347.25</v>
      </c>
      <c r="I85" s="38">
        <f>RTD("rtdtrading.rtdserver",, "T&amp;T1", "QUL", 77)</f>
        <v>7</v>
      </c>
      <c r="J85" s="39" t="str">
        <f>RTD("rtdtrading.rtdserver",, "T&amp;T1", "AGR", 77)</f>
        <v>Vendedor</v>
      </c>
    </row>
    <row r="86" spans="1:10" x14ac:dyDescent="0.25">
      <c r="A86" s="44" t="str">
        <f>RTD("rtdtrading.rtdserver",, "T&amp;T0", "DAT", 78)</f>
        <v>19:06:36.778</v>
      </c>
      <c r="B86" s="27">
        <f>RTD("rtdtrading.rtdserver",, "T&amp;T0", "PRE", 78)</f>
        <v>7347.25</v>
      </c>
      <c r="C86" s="28">
        <f>RTD("rtdtrading.rtdserver",, "T&amp;T0", "QUL", 78)</f>
        <v>4</v>
      </c>
      <c r="D86" s="28" t="str">
        <f>RTD("rtdtrading.rtdserver",, "T&amp;T0", "AGR", 78)</f>
        <v>Comprador</v>
      </c>
      <c r="G86" s="36" t="str">
        <f>RTD("rtdtrading.rtdserver",, "T&amp;T1", "DAT", 78)</f>
        <v>19:07:08.982</v>
      </c>
      <c r="H86" s="37">
        <f>RTD("rtdtrading.rtdserver",, "T&amp;T1", "PRE", 78)</f>
        <v>7347.5</v>
      </c>
      <c r="I86" s="38">
        <f>RTD("rtdtrading.rtdserver",, "T&amp;T1", "QUL", 78)</f>
        <v>1</v>
      </c>
      <c r="J86" s="39" t="str">
        <f>RTD("rtdtrading.rtdserver",, "T&amp;T1", "AGR", 78)</f>
        <v>Vendedor</v>
      </c>
    </row>
    <row r="87" spans="1:10" x14ac:dyDescent="0.25">
      <c r="A87" s="44" t="str">
        <f>RTD("rtdtrading.rtdserver",, "T&amp;T0", "DAT", 79)</f>
        <v>19:06:36.778</v>
      </c>
      <c r="B87" s="27">
        <f>RTD("rtdtrading.rtdserver",, "T&amp;T0", "PRE", 79)</f>
        <v>7347</v>
      </c>
      <c r="C87" s="28">
        <f>RTD("rtdtrading.rtdserver",, "T&amp;T0", "QUL", 79)</f>
        <v>6</v>
      </c>
      <c r="D87" s="28" t="str">
        <f>RTD("rtdtrading.rtdserver",, "T&amp;T0", "AGR", 79)</f>
        <v>Comprador</v>
      </c>
      <c r="G87" s="36" t="str">
        <f>RTD("rtdtrading.rtdserver",, "T&amp;T1", "DAT", 79)</f>
        <v>19:07:08.940</v>
      </c>
      <c r="H87" s="37">
        <f>RTD("rtdtrading.rtdserver",, "T&amp;T1", "PRE", 79)</f>
        <v>7347.5</v>
      </c>
      <c r="I87" s="38">
        <f>RTD("rtdtrading.rtdserver",, "T&amp;T1", "QUL", 79)</f>
        <v>1</v>
      </c>
      <c r="J87" s="39" t="str">
        <f>RTD("rtdtrading.rtdserver",, "T&amp;T1", "AGR", 79)</f>
        <v>Vendedor</v>
      </c>
    </row>
    <row r="88" spans="1:10" x14ac:dyDescent="0.25">
      <c r="A88" s="44" t="str">
        <f>RTD("rtdtrading.rtdserver",, "T&amp;T0", "DAT", 80)</f>
        <v>19:06:36.778</v>
      </c>
      <c r="B88" s="27">
        <f>RTD("rtdtrading.rtdserver",, "T&amp;T0", "PRE", 80)</f>
        <v>7347</v>
      </c>
      <c r="C88" s="28">
        <f>RTD("rtdtrading.rtdserver",, "T&amp;T0", "QUL", 80)</f>
        <v>2</v>
      </c>
      <c r="D88" s="28" t="str">
        <f>RTD("rtdtrading.rtdserver",, "T&amp;T0", "AGR", 80)</f>
        <v>Comprador</v>
      </c>
      <c r="G88" s="36" t="str">
        <f>RTD("rtdtrading.rtdserver",, "T&amp;T1", "DAT", 80)</f>
        <v>19:07:00.748</v>
      </c>
      <c r="H88" s="37">
        <f>RTD("rtdtrading.rtdserver",, "T&amp;T1", "PRE", 80)</f>
        <v>7347.5</v>
      </c>
      <c r="I88" s="38">
        <f>RTD("rtdtrading.rtdserver",, "T&amp;T1", "QUL", 80)</f>
        <v>1</v>
      </c>
      <c r="J88" s="39" t="str">
        <f>RTD("rtdtrading.rtdserver",, "T&amp;T1", "AGR", 80)</f>
        <v>Vendedor</v>
      </c>
    </row>
    <row r="89" spans="1:10" x14ac:dyDescent="0.25">
      <c r="A89" s="44" t="str">
        <f>RTD("rtdtrading.rtdserver",, "T&amp;T0", "DAT", 81)</f>
        <v>19:06:36.778</v>
      </c>
      <c r="B89" s="27">
        <f>RTD("rtdtrading.rtdserver",, "T&amp;T0", "PRE", 81)</f>
        <v>7346.75</v>
      </c>
      <c r="C89" s="28">
        <f>RTD("rtdtrading.rtdserver",, "T&amp;T0", "QUL", 81)</f>
        <v>29</v>
      </c>
      <c r="D89" s="28" t="str">
        <f>RTD("rtdtrading.rtdserver",, "T&amp;T0", "AGR", 81)</f>
        <v>Comprador</v>
      </c>
      <c r="G89" s="36" t="str">
        <f>RTD("rtdtrading.rtdserver",, "T&amp;T1", "DAT", 81)</f>
        <v>19:07:00.748</v>
      </c>
      <c r="H89" s="37">
        <f>RTD("rtdtrading.rtdserver",, "T&amp;T1", "PRE", 81)</f>
        <v>7347.5</v>
      </c>
      <c r="I89" s="38">
        <f>RTD("rtdtrading.rtdserver",, "T&amp;T1", "QUL", 81)</f>
        <v>1</v>
      </c>
      <c r="J89" s="39" t="str">
        <f>RTD("rtdtrading.rtdserver",, "T&amp;T1", "AGR", 81)</f>
        <v>Vendedor</v>
      </c>
    </row>
    <row r="90" spans="1:10" x14ac:dyDescent="0.25">
      <c r="A90" s="44" t="str">
        <f>RTD("rtdtrading.rtdserver",, "T&amp;T0", "DAT", 82)</f>
        <v>19:06:36.778</v>
      </c>
      <c r="B90" s="27">
        <f>RTD("rtdtrading.rtdserver",, "T&amp;T0", "PRE", 82)</f>
        <v>7346.5</v>
      </c>
      <c r="C90" s="28">
        <f>RTD("rtdtrading.rtdserver",, "T&amp;T0", "QUL", 82)</f>
        <v>7</v>
      </c>
      <c r="D90" s="28" t="str">
        <f>RTD("rtdtrading.rtdserver",, "T&amp;T0", "AGR", 82)</f>
        <v>Comprador</v>
      </c>
      <c r="G90" s="36" t="str">
        <f>RTD("rtdtrading.rtdserver",, "T&amp;T1", "DAT", 82)</f>
        <v>19:07:00.748</v>
      </c>
      <c r="H90" s="37">
        <f>RTD("rtdtrading.rtdserver",, "T&amp;T1", "PRE", 82)</f>
        <v>7347.5</v>
      </c>
      <c r="I90" s="38">
        <f>RTD("rtdtrading.rtdserver",, "T&amp;T1", "QUL", 82)</f>
        <v>1</v>
      </c>
      <c r="J90" s="39" t="str">
        <f>RTD("rtdtrading.rtdserver",, "T&amp;T1", "AGR", 82)</f>
        <v>Vendedor</v>
      </c>
    </row>
    <row r="91" spans="1:10" x14ac:dyDescent="0.25">
      <c r="A91" s="44" t="str">
        <f>RTD("rtdtrading.rtdserver",, "T&amp;T0", "DAT", 83)</f>
        <v>19:06:36.778</v>
      </c>
      <c r="B91" s="27">
        <f>RTD("rtdtrading.rtdserver",, "T&amp;T0", "PRE", 83)</f>
        <v>7346.25</v>
      </c>
      <c r="C91" s="28">
        <f>RTD("rtdtrading.rtdserver",, "T&amp;T0", "QUL", 83)</f>
        <v>4</v>
      </c>
      <c r="D91" s="28" t="str">
        <f>RTD("rtdtrading.rtdserver",, "T&amp;T0", "AGR", 83)</f>
        <v>Comprador</v>
      </c>
      <c r="G91" s="36" t="str">
        <f>RTD("rtdtrading.rtdserver",, "T&amp;T1", "DAT", 83)</f>
        <v>19:06:59.082</v>
      </c>
      <c r="H91" s="37">
        <f>RTD("rtdtrading.rtdserver",, "T&amp;T1", "PRE", 83)</f>
        <v>7347.5</v>
      </c>
      <c r="I91" s="38">
        <f>RTD("rtdtrading.rtdserver",, "T&amp;T1", "QUL", 83)</f>
        <v>1</v>
      </c>
      <c r="J91" s="39" t="str">
        <f>RTD("rtdtrading.rtdserver",, "T&amp;T1", "AGR", 83)</f>
        <v>Vendedor</v>
      </c>
    </row>
    <row r="92" spans="1:10" x14ac:dyDescent="0.25">
      <c r="A92" s="44" t="str">
        <f>RTD("rtdtrading.rtdserver",, "T&amp;T0", "DAT", 84)</f>
        <v>19:06:36.355</v>
      </c>
      <c r="B92" s="27">
        <f>RTD("rtdtrading.rtdserver",, "T&amp;T0", "PRE", 84)</f>
        <v>7346.25</v>
      </c>
      <c r="C92" s="28">
        <f>RTD("rtdtrading.rtdserver",, "T&amp;T0", "QUL", 84)</f>
        <v>1</v>
      </c>
      <c r="D92" s="28" t="str">
        <f>RTD("rtdtrading.rtdserver",, "T&amp;T0", "AGR", 84)</f>
        <v>Comprador</v>
      </c>
      <c r="G92" s="36" t="str">
        <f>RTD("rtdtrading.rtdserver",, "T&amp;T1", "DAT", 84)</f>
        <v>19:06:57.763</v>
      </c>
      <c r="H92" s="37">
        <f>RTD("rtdtrading.rtdserver",, "T&amp;T1", "PRE", 84)</f>
        <v>7347.5</v>
      </c>
      <c r="I92" s="38">
        <f>RTD("rtdtrading.rtdserver",, "T&amp;T1", "QUL", 84)</f>
        <v>1</v>
      </c>
      <c r="J92" s="39" t="str">
        <f>RTD("rtdtrading.rtdserver",, "T&amp;T1", "AGR", 84)</f>
        <v>Vendedor</v>
      </c>
    </row>
    <row r="93" spans="1:10" x14ac:dyDescent="0.25">
      <c r="A93" s="44" t="str">
        <f>RTD("rtdtrading.rtdserver",, "T&amp;T0", "DAT", 85)</f>
        <v>19:06:33.326</v>
      </c>
      <c r="B93" s="27">
        <f>RTD("rtdtrading.rtdserver",, "T&amp;T0", "PRE", 85)</f>
        <v>7346.25</v>
      </c>
      <c r="C93" s="28">
        <f>RTD("rtdtrading.rtdserver",, "T&amp;T0", "QUL", 85)</f>
        <v>1</v>
      </c>
      <c r="D93" s="28" t="str">
        <f>RTD("rtdtrading.rtdserver",, "T&amp;T0", "AGR", 85)</f>
        <v>Comprador</v>
      </c>
      <c r="G93" s="36" t="str">
        <f>RTD("rtdtrading.rtdserver",, "T&amp;T1", "DAT", 85)</f>
        <v>19:06:57.196</v>
      </c>
      <c r="H93" s="37">
        <f>RTD("rtdtrading.rtdserver",, "T&amp;T1", "PRE", 85)</f>
        <v>7347.5</v>
      </c>
      <c r="I93" s="38">
        <f>RTD("rtdtrading.rtdserver",, "T&amp;T1", "QUL", 85)</f>
        <v>1</v>
      </c>
      <c r="J93" s="39" t="str">
        <f>RTD("rtdtrading.rtdserver",, "T&amp;T1", "AGR", 85)</f>
        <v>Vendedor</v>
      </c>
    </row>
    <row r="94" spans="1:10" x14ac:dyDescent="0.25">
      <c r="A94" s="44" t="str">
        <f>RTD("rtdtrading.rtdserver",, "T&amp;T0", "DAT", 86)</f>
        <v>19:06:32.712</v>
      </c>
      <c r="B94" s="27">
        <f>RTD("rtdtrading.rtdserver",, "T&amp;T0", "PRE", 86)</f>
        <v>7346.25</v>
      </c>
      <c r="C94" s="28">
        <f>RTD("rtdtrading.rtdserver",, "T&amp;T0", "QUL", 86)</f>
        <v>1</v>
      </c>
      <c r="D94" s="28" t="str">
        <f>RTD("rtdtrading.rtdserver",, "T&amp;T0", "AGR", 86)</f>
        <v>Comprador</v>
      </c>
      <c r="G94" s="36" t="str">
        <f>RTD("rtdtrading.rtdserver",, "T&amp;T1", "DAT", 86)</f>
        <v>19:06:57.196</v>
      </c>
      <c r="H94" s="37">
        <f>RTD("rtdtrading.rtdserver",, "T&amp;T1", "PRE", 86)</f>
        <v>7347.5</v>
      </c>
      <c r="I94" s="38">
        <f>RTD("rtdtrading.rtdserver",, "T&amp;T1", "QUL", 86)</f>
        <v>1</v>
      </c>
      <c r="J94" s="39" t="str">
        <f>RTD("rtdtrading.rtdserver",, "T&amp;T1", "AGR", 86)</f>
        <v>Vendedor</v>
      </c>
    </row>
    <row r="95" spans="1:10" x14ac:dyDescent="0.25">
      <c r="A95" s="44" t="str">
        <f>RTD("rtdtrading.rtdserver",, "T&amp;T0", "DAT", 87)</f>
        <v>19:06:32.564</v>
      </c>
      <c r="B95" s="27">
        <f>RTD("rtdtrading.rtdserver",, "T&amp;T0", "PRE", 87)</f>
        <v>7346.25</v>
      </c>
      <c r="C95" s="28">
        <f>RTD("rtdtrading.rtdserver",, "T&amp;T0", "QUL", 87)</f>
        <v>1</v>
      </c>
      <c r="D95" s="28" t="str">
        <f>RTD("rtdtrading.rtdserver",, "T&amp;T0", "AGR", 87)</f>
        <v>Comprador</v>
      </c>
      <c r="G95" s="36" t="str">
        <f>RTD("rtdtrading.rtdserver",, "T&amp;T1", "DAT", 87)</f>
        <v>19:06:55.324</v>
      </c>
      <c r="H95" s="37">
        <f>RTD("rtdtrading.rtdserver",, "T&amp;T1", "PRE", 87)</f>
        <v>7347.5</v>
      </c>
      <c r="I95" s="38">
        <f>RTD("rtdtrading.rtdserver",, "T&amp;T1", "QUL", 87)</f>
        <v>1</v>
      </c>
      <c r="J95" s="39" t="str">
        <f>RTD("rtdtrading.rtdserver",, "T&amp;T1", "AGR", 87)</f>
        <v>Vendedor</v>
      </c>
    </row>
    <row r="96" spans="1:10" x14ac:dyDescent="0.25">
      <c r="A96" s="44" t="str">
        <f>RTD("rtdtrading.rtdserver",, "T&amp;T0", "DAT", 88)</f>
        <v>19:06:32.563</v>
      </c>
      <c r="B96" s="27">
        <f>RTD("rtdtrading.rtdserver",, "T&amp;T0", "PRE", 88)</f>
        <v>7346</v>
      </c>
      <c r="C96" s="28">
        <f>RTD("rtdtrading.rtdserver",, "T&amp;T0", "QUL", 88)</f>
        <v>21</v>
      </c>
      <c r="D96" s="28" t="str">
        <f>RTD("rtdtrading.rtdserver",, "T&amp;T0", "AGR", 88)</f>
        <v>Comprador</v>
      </c>
      <c r="G96" s="36" t="str">
        <f>RTD("rtdtrading.rtdserver",, "T&amp;T1", "DAT", 88)</f>
        <v>19:06:54.989</v>
      </c>
      <c r="H96" s="37">
        <f>RTD("rtdtrading.rtdserver",, "T&amp;T1", "PRE", 88)</f>
        <v>7347.5</v>
      </c>
      <c r="I96" s="38">
        <f>RTD("rtdtrading.rtdserver",, "T&amp;T1", "QUL", 88)</f>
        <v>2</v>
      </c>
      <c r="J96" s="39" t="str">
        <f>RTD("rtdtrading.rtdserver",, "T&amp;T1", "AGR", 88)</f>
        <v>Vendedor</v>
      </c>
    </row>
    <row r="97" spans="1:10" x14ac:dyDescent="0.25">
      <c r="A97" s="44" t="str">
        <f>RTD("rtdtrading.rtdserver",, "T&amp;T0", "DAT", 89)</f>
        <v>19:06:32.563</v>
      </c>
      <c r="B97" s="27">
        <f>RTD("rtdtrading.rtdserver",, "T&amp;T0", "PRE", 89)</f>
        <v>7346</v>
      </c>
      <c r="C97" s="28">
        <f>RTD("rtdtrading.rtdserver",, "T&amp;T0", "QUL", 89)</f>
        <v>1</v>
      </c>
      <c r="D97" s="28" t="str">
        <f>RTD("rtdtrading.rtdserver",, "T&amp;T0", "AGR", 89)</f>
        <v>Comprador</v>
      </c>
      <c r="G97" s="36" t="str">
        <f>RTD("rtdtrading.rtdserver",, "T&amp;T1", "DAT", 89)</f>
        <v>19:06:54.989</v>
      </c>
      <c r="H97" s="37">
        <f>RTD("rtdtrading.rtdserver",, "T&amp;T1", "PRE", 89)</f>
        <v>7347.5</v>
      </c>
      <c r="I97" s="38">
        <f>RTD("rtdtrading.rtdserver",, "T&amp;T1", "QUL", 89)</f>
        <v>1</v>
      </c>
      <c r="J97" s="39" t="str">
        <f>RTD("rtdtrading.rtdserver",, "T&amp;T1", "AGR", 89)</f>
        <v>Vendedor</v>
      </c>
    </row>
    <row r="98" spans="1:10" x14ac:dyDescent="0.25">
      <c r="A98" s="44" t="str">
        <f>RTD("rtdtrading.rtdserver",, "T&amp;T0", "DAT", 90)</f>
        <v>19:06:32.250</v>
      </c>
      <c r="B98" s="27">
        <f>RTD("rtdtrading.rtdserver",, "T&amp;T0", "PRE", 90)</f>
        <v>7346</v>
      </c>
      <c r="C98" s="28">
        <f>RTD("rtdtrading.rtdserver",, "T&amp;T0", "QUL", 90)</f>
        <v>1</v>
      </c>
      <c r="D98" s="28" t="str">
        <f>RTD("rtdtrading.rtdserver",, "T&amp;T0", "AGR", 90)</f>
        <v>Comprador</v>
      </c>
      <c r="G98" s="36" t="str">
        <f>RTD("rtdtrading.rtdserver",, "T&amp;T1", "DAT", 90)</f>
        <v>19:06:54.788</v>
      </c>
      <c r="H98" s="37">
        <f>RTD("rtdtrading.rtdserver",, "T&amp;T1", "PRE", 90)</f>
        <v>7347.25</v>
      </c>
      <c r="I98" s="38">
        <f>RTD("rtdtrading.rtdserver",, "T&amp;T1", "QUL", 90)</f>
        <v>1</v>
      </c>
      <c r="J98" s="39" t="str">
        <f>RTD("rtdtrading.rtdserver",, "T&amp;T1", "AGR", 90)</f>
        <v>Vendedor</v>
      </c>
    </row>
    <row r="99" spans="1:10" x14ac:dyDescent="0.25">
      <c r="A99" s="44" t="str">
        <f>RTD("rtdtrading.rtdserver",, "T&amp;T0", "DAT", 91)</f>
        <v>19:06:32.043</v>
      </c>
      <c r="B99" s="27">
        <f>RTD("rtdtrading.rtdserver",, "T&amp;T0", "PRE", 91)</f>
        <v>7346</v>
      </c>
      <c r="C99" s="28">
        <f>RTD("rtdtrading.rtdserver",, "T&amp;T0", "QUL", 91)</f>
        <v>1</v>
      </c>
      <c r="D99" s="28" t="str">
        <f>RTD("rtdtrading.rtdserver",, "T&amp;T0", "AGR", 91)</f>
        <v>Comprador</v>
      </c>
      <c r="G99" s="36" t="str">
        <f>RTD("rtdtrading.rtdserver",, "T&amp;T1", "DAT", 91)</f>
        <v>19:06:54.070</v>
      </c>
      <c r="H99" s="37">
        <f>RTD("rtdtrading.rtdserver",, "T&amp;T1", "PRE", 91)</f>
        <v>7347.5</v>
      </c>
      <c r="I99" s="38">
        <f>RTD("rtdtrading.rtdserver",, "T&amp;T1", "QUL", 91)</f>
        <v>1</v>
      </c>
      <c r="J99" s="39" t="str">
        <f>RTD("rtdtrading.rtdserver",, "T&amp;T1", "AGR", 91)</f>
        <v>Vendedor</v>
      </c>
    </row>
    <row r="100" spans="1:10" x14ac:dyDescent="0.25">
      <c r="A100" s="44" t="str">
        <f>RTD("rtdtrading.rtdserver",, "T&amp;T0", "DAT", 92)</f>
        <v>19:06:31.659</v>
      </c>
      <c r="B100" s="27">
        <f>RTD("rtdtrading.rtdserver",, "T&amp;T0", "PRE", 92)</f>
        <v>7346</v>
      </c>
      <c r="C100" s="28">
        <f>RTD("rtdtrading.rtdserver",, "T&amp;T0", "QUL", 92)</f>
        <v>1</v>
      </c>
      <c r="D100" s="28" t="str">
        <f>RTD("rtdtrading.rtdserver",, "T&amp;T0", "AGR", 92)</f>
        <v>Comprador</v>
      </c>
      <c r="G100" s="36" t="str">
        <f>RTD("rtdtrading.rtdserver",, "T&amp;T1", "DAT", 92)</f>
        <v>19:06:54.069</v>
      </c>
      <c r="H100" s="37">
        <f>RTD("rtdtrading.rtdserver",, "T&amp;T1", "PRE", 92)</f>
        <v>7347.5</v>
      </c>
      <c r="I100" s="38">
        <f>RTD("rtdtrading.rtdserver",, "T&amp;T1", "QUL", 92)</f>
        <v>3</v>
      </c>
      <c r="J100" s="39" t="str">
        <f>RTD("rtdtrading.rtdserver",, "T&amp;T1", "AGR", 92)</f>
        <v>Vendedor</v>
      </c>
    </row>
    <row r="101" spans="1:10" x14ac:dyDescent="0.25">
      <c r="A101" s="44" t="str">
        <f>RTD("rtdtrading.rtdserver",, "T&amp;T0", "DAT", 93)</f>
        <v>19:06:31.382</v>
      </c>
      <c r="B101" s="27">
        <f>RTD("rtdtrading.rtdserver",, "T&amp;T0", "PRE", 93)</f>
        <v>7346</v>
      </c>
      <c r="C101" s="28">
        <f>RTD("rtdtrading.rtdserver",, "T&amp;T0", "QUL", 93)</f>
        <v>1</v>
      </c>
      <c r="D101" s="28" t="str">
        <f>RTD("rtdtrading.rtdserver",, "T&amp;T0", "AGR", 93)</f>
        <v>Comprador</v>
      </c>
      <c r="G101" s="36" t="str">
        <f>RTD("rtdtrading.rtdserver",, "T&amp;T1", "DAT", 93)</f>
        <v>19:06:52.539</v>
      </c>
      <c r="H101" s="37">
        <f>RTD("rtdtrading.rtdserver",, "T&amp;T1", "PRE", 93)</f>
        <v>7347.5</v>
      </c>
      <c r="I101" s="38">
        <f>RTD("rtdtrading.rtdserver",, "T&amp;T1", "QUL", 93)</f>
        <v>1</v>
      </c>
      <c r="J101" s="39" t="str">
        <f>RTD("rtdtrading.rtdserver",, "T&amp;T1", "AGR", 93)</f>
        <v>Vendedor</v>
      </c>
    </row>
    <row r="102" spans="1:10" x14ac:dyDescent="0.25">
      <c r="A102" s="44" t="str">
        <f>RTD("rtdtrading.rtdserver",, "T&amp;T0", "DAT", 94)</f>
        <v>19:06:30.709</v>
      </c>
      <c r="B102" s="27">
        <f>RTD("rtdtrading.rtdserver",, "T&amp;T0", "PRE", 94)</f>
        <v>7346</v>
      </c>
      <c r="C102" s="28">
        <f>RTD("rtdtrading.rtdserver",, "T&amp;T0", "QUL", 94)</f>
        <v>1</v>
      </c>
      <c r="D102" s="28" t="str">
        <f>RTD("rtdtrading.rtdserver",, "T&amp;T0", "AGR", 94)</f>
        <v>Comprador</v>
      </c>
      <c r="G102" s="36" t="str">
        <f>RTD("rtdtrading.rtdserver",, "T&amp;T1", "DAT", 94)</f>
        <v>19:06:52.536</v>
      </c>
      <c r="H102" s="37">
        <f>RTD("rtdtrading.rtdserver",, "T&amp;T1", "PRE", 94)</f>
        <v>7347.5</v>
      </c>
      <c r="I102" s="38">
        <f>RTD("rtdtrading.rtdserver",, "T&amp;T1", "QUL", 94)</f>
        <v>1</v>
      </c>
      <c r="J102" s="39" t="str">
        <f>RTD("rtdtrading.rtdserver",, "T&amp;T1", "AGR", 94)</f>
        <v>Vendedor</v>
      </c>
    </row>
    <row r="103" spans="1:10" x14ac:dyDescent="0.25">
      <c r="A103" s="44" t="str">
        <f>RTD("rtdtrading.rtdserver",, "T&amp;T0", "DAT", 95)</f>
        <v>19:06:30.709</v>
      </c>
      <c r="B103" s="27">
        <f>RTD("rtdtrading.rtdserver",, "T&amp;T0", "PRE", 95)</f>
        <v>7346</v>
      </c>
      <c r="C103" s="28">
        <f>RTD("rtdtrading.rtdserver",, "T&amp;T0", "QUL", 95)</f>
        <v>1</v>
      </c>
      <c r="D103" s="28" t="str">
        <f>RTD("rtdtrading.rtdserver",, "T&amp;T0", "AGR", 95)</f>
        <v>Comprador</v>
      </c>
      <c r="G103" s="36" t="str">
        <f>RTD("rtdtrading.rtdserver",, "T&amp;T1", "DAT", 95)</f>
        <v>19:06:52.524</v>
      </c>
      <c r="H103" s="37">
        <f>RTD("rtdtrading.rtdserver",, "T&amp;T1", "PRE", 95)</f>
        <v>7347.25</v>
      </c>
      <c r="I103" s="38">
        <f>RTD("rtdtrading.rtdserver",, "T&amp;T1", "QUL", 95)</f>
        <v>1</v>
      </c>
      <c r="J103" s="39" t="str">
        <f>RTD("rtdtrading.rtdserver",, "T&amp;T1", "AGR", 95)</f>
        <v>Vendedor</v>
      </c>
    </row>
    <row r="104" spans="1:10" x14ac:dyDescent="0.25">
      <c r="A104" s="44" t="str">
        <f>RTD("rtdtrading.rtdserver",, "T&amp;T0", "DAT", 96)</f>
        <v>19:06:30.709</v>
      </c>
      <c r="B104" s="27">
        <f>RTD("rtdtrading.rtdserver",, "T&amp;T0", "PRE", 96)</f>
        <v>7346</v>
      </c>
      <c r="C104" s="28">
        <f>RTD("rtdtrading.rtdserver",, "T&amp;T0", "QUL", 96)</f>
        <v>2</v>
      </c>
      <c r="D104" s="28" t="str">
        <f>RTD("rtdtrading.rtdserver",, "T&amp;T0", "AGR", 96)</f>
        <v>Comprador</v>
      </c>
      <c r="G104" s="36" t="str">
        <f>RTD("rtdtrading.rtdserver",, "T&amp;T1", "DAT", 96)</f>
        <v>19:06:51.292</v>
      </c>
      <c r="H104" s="37">
        <f>RTD("rtdtrading.rtdserver",, "T&amp;T1", "PRE", 96)</f>
        <v>7347</v>
      </c>
      <c r="I104" s="38">
        <f>RTD("rtdtrading.rtdserver",, "T&amp;T1", "QUL", 96)</f>
        <v>1</v>
      </c>
      <c r="J104" s="39" t="str">
        <f>RTD("rtdtrading.rtdserver",, "T&amp;T1", "AGR", 96)</f>
        <v>Vendedor</v>
      </c>
    </row>
    <row r="105" spans="1:10" x14ac:dyDescent="0.25">
      <c r="A105" s="44" t="str">
        <f>RTD("rtdtrading.rtdserver",, "T&amp;T0", "DAT", 97)</f>
        <v>19:06:30.709</v>
      </c>
      <c r="B105" s="27">
        <f>RTD("rtdtrading.rtdserver",, "T&amp;T0", "PRE", 97)</f>
        <v>7346</v>
      </c>
      <c r="C105" s="28">
        <f>RTD("rtdtrading.rtdserver",, "T&amp;T0", "QUL", 97)</f>
        <v>1</v>
      </c>
      <c r="D105" s="28" t="str">
        <f>RTD("rtdtrading.rtdserver",, "T&amp;T0", "AGR", 97)</f>
        <v>Comprador</v>
      </c>
      <c r="G105" s="36" t="str">
        <f>RTD("rtdtrading.rtdserver",, "T&amp;T1", "DAT", 97)</f>
        <v>19:06:50.154</v>
      </c>
      <c r="H105" s="37">
        <f>RTD("rtdtrading.rtdserver",, "T&amp;T1", "PRE", 97)</f>
        <v>7346.75</v>
      </c>
      <c r="I105" s="38">
        <f>RTD("rtdtrading.rtdserver",, "T&amp;T1", "QUL", 97)</f>
        <v>1</v>
      </c>
      <c r="J105" s="39" t="str">
        <f>RTD("rtdtrading.rtdserver",, "T&amp;T1", "AGR", 97)</f>
        <v>Vendedor</v>
      </c>
    </row>
    <row r="106" spans="1:10" x14ac:dyDescent="0.25">
      <c r="A106" s="44" t="str">
        <f>RTD("rtdtrading.rtdserver",, "T&amp;T0", "DAT", 98)</f>
        <v>19:06:30.709</v>
      </c>
      <c r="B106" s="27">
        <f>RTD("rtdtrading.rtdserver",, "T&amp;T0", "PRE", 98)</f>
        <v>7346</v>
      </c>
      <c r="C106" s="28">
        <f>RTD("rtdtrading.rtdserver",, "T&amp;T0", "QUL", 98)</f>
        <v>1</v>
      </c>
      <c r="D106" s="28" t="str">
        <f>RTD("rtdtrading.rtdserver",, "T&amp;T0", "AGR", 98)</f>
        <v>Comprador</v>
      </c>
      <c r="G106" s="36" t="str">
        <f>RTD("rtdtrading.rtdserver",, "T&amp;T1", "DAT", 98)</f>
        <v>19:06:49.913</v>
      </c>
      <c r="H106" s="37">
        <f>RTD("rtdtrading.rtdserver",, "T&amp;T1", "PRE", 98)</f>
        <v>7346.75</v>
      </c>
      <c r="I106" s="38">
        <f>RTD("rtdtrading.rtdserver",, "T&amp;T1", "QUL", 98)</f>
        <v>1</v>
      </c>
      <c r="J106" s="39" t="str">
        <f>RTD("rtdtrading.rtdserver",, "T&amp;T1", "AGR", 98)</f>
        <v>Vendedor</v>
      </c>
    </row>
    <row r="107" spans="1:10" x14ac:dyDescent="0.25">
      <c r="A107" s="44" t="str">
        <f>RTD("rtdtrading.rtdserver",, "T&amp;T0", "DAT", 99)</f>
        <v>19:06:30.709</v>
      </c>
      <c r="B107" s="27">
        <f>RTD("rtdtrading.rtdserver",, "T&amp;T0", "PRE", 99)</f>
        <v>7346</v>
      </c>
      <c r="C107" s="28">
        <f>RTD("rtdtrading.rtdserver",, "T&amp;T0", "QUL", 99)</f>
        <v>1</v>
      </c>
      <c r="D107" s="28" t="str">
        <f>RTD("rtdtrading.rtdserver",, "T&amp;T0", "AGR", 99)</f>
        <v>Comprador</v>
      </c>
      <c r="G107" s="36" t="str">
        <f>RTD("rtdtrading.rtdserver",, "T&amp;T1", "DAT", 99)</f>
        <v>19:06:49.913</v>
      </c>
      <c r="H107" s="37">
        <f>RTD("rtdtrading.rtdserver",, "T&amp;T1", "PRE", 99)</f>
        <v>7346.75</v>
      </c>
      <c r="I107" s="38">
        <f>RTD("rtdtrading.rtdserver",, "T&amp;T1", "QUL", 99)</f>
        <v>2</v>
      </c>
      <c r="J107" s="39" t="str">
        <f>RTD("rtdtrading.rtdserver",, "T&amp;T1", "AGR", 99)</f>
        <v>Vendedor</v>
      </c>
    </row>
    <row r="108" spans="1:10" x14ac:dyDescent="0.25">
      <c r="A108" s="44" t="str">
        <f>RTD("rtdtrading.rtdserver",, "T&amp;T0", "DAT", 100)</f>
        <v>19:06:30.709</v>
      </c>
      <c r="B108" s="27">
        <f>RTD("rtdtrading.rtdserver",, "T&amp;T0", "PRE", 100)</f>
        <v>7346</v>
      </c>
      <c r="C108" s="28">
        <f>RTD("rtdtrading.rtdserver",, "T&amp;T0", "QUL", 100)</f>
        <v>1</v>
      </c>
      <c r="D108" s="28" t="str">
        <f>RTD("rtdtrading.rtdserver",, "T&amp;T0", "AGR", 100)</f>
        <v>Comprador</v>
      </c>
      <c r="G108" s="36" t="str">
        <f>RTD("rtdtrading.rtdserver",, "T&amp;T1", "DAT", 100)</f>
        <v>19:06:49.799</v>
      </c>
      <c r="H108" s="37">
        <f>RTD("rtdtrading.rtdserver",, "T&amp;T1", "PRE", 100)</f>
        <v>7347</v>
      </c>
      <c r="I108" s="38">
        <f>RTD("rtdtrading.rtdserver",, "T&amp;T1", "QUL", 100)</f>
        <v>1</v>
      </c>
      <c r="J108" s="39" t="str">
        <f>RTD("rtdtrading.rtdserver",, "T&amp;T1", "AGR", 100)</f>
        <v>Vendedor</v>
      </c>
    </row>
    <row r="109" spans="1:10" x14ac:dyDescent="0.25">
      <c r="A109" s="44" t="str">
        <f>RTD("rtdtrading.rtdserver",, "T&amp;T0", "DAT", 101)</f>
        <v>19:06:28.990</v>
      </c>
      <c r="B109" s="27">
        <f>RTD("rtdtrading.rtdserver",, "T&amp;T0", "PRE", 101)</f>
        <v>7346.75</v>
      </c>
      <c r="C109" s="28">
        <f>RTD("rtdtrading.rtdserver",, "T&amp;T0", "QUL", 101)</f>
        <v>1</v>
      </c>
      <c r="D109" s="28" t="str">
        <f>RTD("rtdtrading.rtdserver",, "T&amp;T0", "AGR", 101)</f>
        <v>Comprador</v>
      </c>
      <c r="G109" s="36" t="str">
        <f>RTD("rtdtrading.rtdserver",, "T&amp;T1", "DAT", 101)</f>
        <v>19:06:48.560</v>
      </c>
      <c r="H109" s="37">
        <f>RTD("rtdtrading.rtdserver",, "T&amp;T1", "PRE", 101)</f>
        <v>7346.75</v>
      </c>
      <c r="I109" s="38">
        <f>RTD("rtdtrading.rtdserver",, "T&amp;T1", "QUL", 101)</f>
        <v>1</v>
      </c>
      <c r="J109" s="39" t="str">
        <f>RTD("rtdtrading.rtdserver",, "T&amp;T1", "AGR", 101)</f>
        <v>Vendedor</v>
      </c>
    </row>
    <row r="110" spans="1:10" x14ac:dyDescent="0.25">
      <c r="A110" s="44" t="str">
        <f>RTD("rtdtrading.rtdserver",, "T&amp;T0", "DAT", 102)</f>
        <v>19:06:28.990</v>
      </c>
      <c r="B110" s="27">
        <f>RTD("rtdtrading.rtdserver",, "T&amp;T0", "PRE", 102)</f>
        <v>7346.75</v>
      </c>
      <c r="C110" s="28">
        <f>RTD("rtdtrading.rtdserver",, "T&amp;T0", "QUL", 102)</f>
        <v>1</v>
      </c>
      <c r="D110" s="28" t="str">
        <f>RTD("rtdtrading.rtdserver",, "T&amp;T0", "AGR", 102)</f>
        <v>Comprador</v>
      </c>
      <c r="G110" s="36" t="str">
        <f>RTD("rtdtrading.rtdserver",, "T&amp;T1", "DAT", 102)</f>
        <v>19:06:48.559</v>
      </c>
      <c r="H110" s="37">
        <f>RTD("rtdtrading.rtdserver",, "T&amp;T1", "PRE", 102)</f>
        <v>7346.75</v>
      </c>
      <c r="I110" s="38">
        <f>RTD("rtdtrading.rtdserver",, "T&amp;T1", "QUL", 102)</f>
        <v>64</v>
      </c>
      <c r="J110" s="39" t="str">
        <f>RTD("rtdtrading.rtdserver",, "T&amp;T1", "AGR", 102)</f>
        <v>Vendedor</v>
      </c>
    </row>
    <row r="111" spans="1:10" x14ac:dyDescent="0.25">
      <c r="A111" s="44" t="str">
        <f>RTD("rtdtrading.rtdserver",, "T&amp;T0", "DAT", 103)</f>
        <v>19:06:28.989</v>
      </c>
      <c r="B111" s="27">
        <f>RTD("rtdtrading.rtdserver",, "T&amp;T0", "PRE", 103)</f>
        <v>7346.75</v>
      </c>
      <c r="C111" s="28">
        <f>RTD("rtdtrading.rtdserver",, "T&amp;T0", "QUL", 103)</f>
        <v>1</v>
      </c>
      <c r="D111" s="28" t="str">
        <f>RTD("rtdtrading.rtdserver",, "T&amp;T0", "AGR", 103)</f>
        <v>Comprador</v>
      </c>
      <c r="G111" s="36" t="str">
        <f>RTD("rtdtrading.rtdserver",, "T&amp;T1", "DAT", 103)</f>
        <v>19:06:48.559</v>
      </c>
      <c r="H111" s="37">
        <f>RTD("rtdtrading.rtdserver",, "T&amp;T1", "PRE", 103)</f>
        <v>7347</v>
      </c>
      <c r="I111" s="38">
        <f>RTD("rtdtrading.rtdserver",, "T&amp;T1", "QUL", 103)</f>
        <v>1</v>
      </c>
      <c r="J111" s="39" t="str">
        <f>RTD("rtdtrading.rtdserver",, "T&amp;T1", "AGR", 103)</f>
        <v>Vendedor</v>
      </c>
    </row>
    <row r="112" spans="1:10" x14ac:dyDescent="0.25">
      <c r="A112" s="44" t="str">
        <f>RTD("rtdtrading.rtdserver",, "T&amp;T0", "DAT", 104)</f>
        <v>19:06:26.703</v>
      </c>
      <c r="B112" s="27">
        <f>RTD("rtdtrading.rtdserver",, "T&amp;T0", "PRE", 104)</f>
        <v>7346.75</v>
      </c>
      <c r="C112" s="28">
        <f>RTD("rtdtrading.rtdserver",, "T&amp;T0", "QUL", 104)</f>
        <v>1</v>
      </c>
      <c r="D112" s="28" t="str">
        <f>RTD("rtdtrading.rtdserver",, "T&amp;T0", "AGR", 104)</f>
        <v>Comprador</v>
      </c>
      <c r="G112" s="36" t="str">
        <f>RTD("rtdtrading.rtdserver",, "T&amp;T1", "DAT", 104)</f>
        <v>19:06:48.559</v>
      </c>
      <c r="H112" s="37">
        <f>RTD("rtdtrading.rtdserver",, "T&amp;T1", "PRE", 104)</f>
        <v>7347</v>
      </c>
      <c r="I112" s="38">
        <f>RTD("rtdtrading.rtdserver",, "T&amp;T1", "QUL", 104)</f>
        <v>8</v>
      </c>
      <c r="J112" s="39" t="str">
        <f>RTD("rtdtrading.rtdserver",, "T&amp;T1", "AGR", 104)</f>
        <v>Vendedor</v>
      </c>
    </row>
    <row r="113" spans="1:10" x14ac:dyDescent="0.25">
      <c r="A113" s="44" t="str">
        <f>RTD("rtdtrading.rtdserver",, "T&amp;T0", "DAT", 105)</f>
        <v>19:06:26.703</v>
      </c>
      <c r="B113" s="27">
        <f>RTD("rtdtrading.rtdserver",, "T&amp;T0", "PRE", 105)</f>
        <v>7346.75</v>
      </c>
      <c r="C113" s="28">
        <f>RTD("rtdtrading.rtdserver",, "T&amp;T0", "QUL", 105)</f>
        <v>1</v>
      </c>
      <c r="D113" s="28" t="str">
        <f>RTD("rtdtrading.rtdserver",, "T&amp;T0", "AGR", 105)</f>
        <v>Comprador</v>
      </c>
      <c r="G113" s="36" t="str">
        <f>RTD("rtdtrading.rtdserver",, "T&amp;T1", "DAT", 105)</f>
        <v>19:06:47.422</v>
      </c>
      <c r="H113" s="37">
        <f>RTD("rtdtrading.rtdserver",, "T&amp;T1", "PRE", 105)</f>
        <v>7347</v>
      </c>
      <c r="I113" s="38">
        <f>RTD("rtdtrading.rtdserver",, "T&amp;T1", "QUL", 105)</f>
        <v>1</v>
      </c>
      <c r="J113" s="39" t="str">
        <f>RTD("rtdtrading.rtdserver",, "T&amp;T1", "AGR", 105)</f>
        <v>Vendedor</v>
      </c>
    </row>
    <row r="114" spans="1:10" x14ac:dyDescent="0.25">
      <c r="A114" s="44" t="str">
        <f>RTD("rtdtrading.rtdserver",, "T&amp;T0", "DAT", 106)</f>
        <v>19:06:25.992</v>
      </c>
      <c r="B114" s="27">
        <f>RTD("rtdtrading.rtdserver",, "T&amp;T0", "PRE", 106)</f>
        <v>7346.75</v>
      </c>
      <c r="C114" s="28">
        <f>RTD("rtdtrading.rtdserver",, "T&amp;T0", "QUL", 106)</f>
        <v>3</v>
      </c>
      <c r="D114" s="28" t="str">
        <f>RTD("rtdtrading.rtdserver",, "T&amp;T0", "AGR", 106)</f>
        <v>Comprador</v>
      </c>
      <c r="G114" s="36" t="str">
        <f>RTD("rtdtrading.rtdserver",, "T&amp;T1", "DAT", 106)</f>
        <v>19:06:47.422</v>
      </c>
      <c r="H114" s="37">
        <f>RTD("rtdtrading.rtdserver",, "T&amp;T1", "PRE", 106)</f>
        <v>7347</v>
      </c>
      <c r="I114" s="38">
        <f>RTD("rtdtrading.rtdserver",, "T&amp;T1", "QUL", 106)</f>
        <v>3</v>
      </c>
      <c r="J114" s="39" t="str">
        <f>RTD("rtdtrading.rtdserver",, "T&amp;T1", "AGR", 106)</f>
        <v>Vendedor</v>
      </c>
    </row>
    <row r="115" spans="1:10" x14ac:dyDescent="0.25">
      <c r="A115" s="44" t="str">
        <f>RTD("rtdtrading.rtdserver",, "T&amp;T0", "DAT", 107)</f>
        <v>19:06:24.492</v>
      </c>
      <c r="B115" s="27">
        <f>RTD("rtdtrading.rtdserver",, "T&amp;T0", "PRE", 107)</f>
        <v>7346.75</v>
      </c>
      <c r="C115" s="28">
        <f>RTD("rtdtrading.rtdserver",, "T&amp;T0", "QUL", 107)</f>
        <v>1</v>
      </c>
      <c r="D115" s="28" t="str">
        <f>RTD("rtdtrading.rtdserver",, "T&amp;T0", "AGR", 107)</f>
        <v>Comprador</v>
      </c>
      <c r="G115" s="36" t="str">
        <f>RTD("rtdtrading.rtdserver",, "T&amp;T1", "DAT", 107)</f>
        <v>19:06:47.421</v>
      </c>
      <c r="H115" s="37">
        <f>RTD("rtdtrading.rtdserver",, "T&amp;T1", "PRE", 107)</f>
        <v>7347</v>
      </c>
      <c r="I115" s="38">
        <f>RTD("rtdtrading.rtdserver",, "T&amp;T1", "QUL", 107)</f>
        <v>1</v>
      </c>
      <c r="J115" s="39" t="str">
        <f>RTD("rtdtrading.rtdserver",, "T&amp;T1", "AGR", 107)</f>
        <v>Vendedor</v>
      </c>
    </row>
    <row r="116" spans="1:10" x14ac:dyDescent="0.25">
      <c r="A116" s="44" t="str">
        <f>RTD("rtdtrading.rtdserver",, "T&amp;T0", "DAT", 108)</f>
        <v>19:06:24.490</v>
      </c>
      <c r="B116" s="27">
        <f>RTD("rtdtrading.rtdserver",, "T&amp;T0", "PRE", 108)</f>
        <v>7346.75</v>
      </c>
      <c r="C116" s="28">
        <f>RTD("rtdtrading.rtdserver",, "T&amp;T0", "QUL", 108)</f>
        <v>1</v>
      </c>
      <c r="D116" s="28" t="str">
        <f>RTD("rtdtrading.rtdserver",, "T&amp;T0", "AGR", 108)</f>
        <v>Comprador</v>
      </c>
      <c r="G116" s="36" t="str">
        <f>RTD("rtdtrading.rtdserver",, "T&amp;T1", "DAT", 108)</f>
        <v>19:06:47.421</v>
      </c>
      <c r="H116" s="37">
        <f>RTD("rtdtrading.rtdserver",, "T&amp;T1", "PRE", 108)</f>
        <v>7347</v>
      </c>
      <c r="I116" s="38">
        <f>RTD("rtdtrading.rtdserver",, "T&amp;T1", "QUL", 108)</f>
        <v>3</v>
      </c>
      <c r="J116" s="39" t="str">
        <f>RTD("rtdtrading.rtdserver",, "T&amp;T1", "AGR", 108)</f>
        <v>Vendedor</v>
      </c>
    </row>
    <row r="117" spans="1:10" x14ac:dyDescent="0.25">
      <c r="A117" s="44" t="str">
        <f>RTD("rtdtrading.rtdserver",, "T&amp;T0", "DAT", 109)</f>
        <v>19:06:24.490</v>
      </c>
      <c r="B117" s="27">
        <f>RTD("rtdtrading.rtdserver",, "T&amp;T0", "PRE", 109)</f>
        <v>7346.75</v>
      </c>
      <c r="C117" s="28">
        <f>RTD("rtdtrading.rtdserver",, "T&amp;T0", "QUL", 109)</f>
        <v>1</v>
      </c>
      <c r="D117" s="28" t="str">
        <f>RTD("rtdtrading.rtdserver",, "T&amp;T0", "AGR", 109)</f>
        <v>Comprador</v>
      </c>
      <c r="G117" s="36" t="str">
        <f>RTD("rtdtrading.rtdserver",, "T&amp;T1", "DAT", 109)</f>
        <v>19:06:47.421</v>
      </c>
      <c r="H117" s="37">
        <f>RTD("rtdtrading.rtdserver",, "T&amp;T1", "PRE", 109)</f>
        <v>7347</v>
      </c>
      <c r="I117" s="38">
        <f>RTD("rtdtrading.rtdserver",, "T&amp;T1", "QUL", 109)</f>
        <v>1</v>
      </c>
      <c r="J117" s="39" t="str">
        <f>RTD("rtdtrading.rtdserver",, "T&amp;T1", "AGR", 109)</f>
        <v>Vendedor</v>
      </c>
    </row>
    <row r="118" spans="1:10" x14ac:dyDescent="0.25">
      <c r="A118" s="44" t="str">
        <f>RTD("rtdtrading.rtdserver",, "T&amp;T0", "DAT", 110)</f>
        <v>19:06:24.490</v>
      </c>
      <c r="B118" s="27">
        <f>RTD("rtdtrading.rtdserver",, "T&amp;T0", "PRE", 110)</f>
        <v>7346.75</v>
      </c>
      <c r="C118" s="28">
        <f>RTD("rtdtrading.rtdserver",, "T&amp;T0", "QUL", 110)</f>
        <v>1</v>
      </c>
      <c r="D118" s="28" t="str">
        <f>RTD("rtdtrading.rtdserver",, "T&amp;T0", "AGR", 110)</f>
        <v>Comprador</v>
      </c>
      <c r="G118" s="36" t="str">
        <f>RTD("rtdtrading.rtdserver",, "T&amp;T1", "DAT", 110)</f>
        <v>19:06:47.421</v>
      </c>
      <c r="H118" s="37">
        <f>RTD("rtdtrading.rtdserver",, "T&amp;T1", "PRE", 110)</f>
        <v>7347</v>
      </c>
      <c r="I118" s="38">
        <f>RTD("rtdtrading.rtdserver",, "T&amp;T1", "QUL", 110)</f>
        <v>1</v>
      </c>
      <c r="J118" s="39" t="str">
        <f>RTD("rtdtrading.rtdserver",, "T&amp;T1", "AGR", 110)</f>
        <v>Vendedor</v>
      </c>
    </row>
    <row r="119" spans="1:10" x14ac:dyDescent="0.25">
      <c r="A119" s="44" t="str">
        <f>RTD("rtdtrading.rtdserver",, "T&amp;T0", "DAT", 111)</f>
        <v>19:06:24.490</v>
      </c>
      <c r="B119" s="27">
        <f>RTD("rtdtrading.rtdserver",, "T&amp;T0", "PRE", 111)</f>
        <v>7346.75</v>
      </c>
      <c r="C119" s="28">
        <f>RTD("rtdtrading.rtdserver",, "T&amp;T0", "QUL", 111)</f>
        <v>1</v>
      </c>
      <c r="D119" s="28" t="str">
        <f>RTD("rtdtrading.rtdserver",, "T&amp;T0", "AGR", 111)</f>
        <v>Comprador</v>
      </c>
      <c r="G119" s="36" t="str">
        <f>RTD("rtdtrading.rtdserver",, "T&amp;T1", "DAT", 111)</f>
        <v>19:06:47.421</v>
      </c>
      <c r="H119" s="37">
        <f>RTD("rtdtrading.rtdserver",, "T&amp;T1", "PRE", 111)</f>
        <v>7347</v>
      </c>
      <c r="I119" s="38">
        <f>RTD("rtdtrading.rtdserver",, "T&amp;T1", "QUL", 111)</f>
        <v>1</v>
      </c>
      <c r="J119" s="39" t="str">
        <f>RTD("rtdtrading.rtdserver",, "T&amp;T1", "AGR", 111)</f>
        <v>Vendedor</v>
      </c>
    </row>
    <row r="120" spans="1:10" x14ac:dyDescent="0.25">
      <c r="A120" s="44" t="str">
        <f>RTD("rtdtrading.rtdserver",, "T&amp;T0", "DAT", 112)</f>
        <v>19:06:24.490</v>
      </c>
      <c r="B120" s="27">
        <f>RTD("rtdtrading.rtdserver",, "T&amp;T0", "PRE", 112)</f>
        <v>7346.75</v>
      </c>
      <c r="C120" s="28">
        <f>RTD("rtdtrading.rtdserver",, "T&amp;T0", "QUL", 112)</f>
        <v>1</v>
      </c>
      <c r="D120" s="28" t="str">
        <f>RTD("rtdtrading.rtdserver",, "T&amp;T0", "AGR", 112)</f>
        <v>Comprador</v>
      </c>
      <c r="G120" s="36" t="str">
        <f>RTD("rtdtrading.rtdserver",, "T&amp;T1", "DAT", 112)</f>
        <v>19:06:47.420</v>
      </c>
      <c r="H120" s="37">
        <f>RTD("rtdtrading.rtdserver",, "T&amp;T1", "PRE", 112)</f>
        <v>7347</v>
      </c>
      <c r="I120" s="38">
        <f>RTD("rtdtrading.rtdserver",, "T&amp;T1", "QUL", 112)</f>
        <v>9</v>
      </c>
      <c r="J120" s="39" t="str">
        <f>RTD("rtdtrading.rtdserver",, "T&amp;T1", "AGR", 112)</f>
        <v>Vendedor</v>
      </c>
    </row>
    <row r="121" spans="1:10" x14ac:dyDescent="0.25">
      <c r="A121" s="44" t="str">
        <f>RTD("rtdtrading.rtdserver",, "T&amp;T0", "DAT", 113)</f>
        <v>19:06:23.899</v>
      </c>
      <c r="B121" s="27">
        <f>RTD("rtdtrading.rtdserver",, "T&amp;T0", "PRE", 113)</f>
        <v>7346.75</v>
      </c>
      <c r="C121" s="28">
        <f>RTD("rtdtrading.rtdserver",, "T&amp;T0", "QUL", 113)</f>
        <v>1</v>
      </c>
      <c r="D121" s="28" t="str">
        <f>RTD("rtdtrading.rtdserver",, "T&amp;T0", "AGR", 113)</f>
        <v>Comprador</v>
      </c>
      <c r="G121" s="36" t="str">
        <f>RTD("rtdtrading.rtdserver",, "T&amp;T1", "DAT", 113)</f>
        <v>19:06:47.420</v>
      </c>
      <c r="H121" s="37">
        <f>RTD("rtdtrading.rtdserver",, "T&amp;T1", "PRE", 113)</f>
        <v>7347</v>
      </c>
      <c r="I121" s="38">
        <f>RTD("rtdtrading.rtdserver",, "T&amp;T1", "QUL", 113)</f>
        <v>1</v>
      </c>
      <c r="J121" s="39" t="str">
        <f>RTD("rtdtrading.rtdserver",, "T&amp;T1", "AGR", 113)</f>
        <v>Vendedor</v>
      </c>
    </row>
    <row r="122" spans="1:10" x14ac:dyDescent="0.25">
      <c r="A122" s="44" t="str">
        <f>RTD("rtdtrading.rtdserver",, "T&amp;T0", "DAT", 114)</f>
        <v>19:06:23.733</v>
      </c>
      <c r="B122" s="27">
        <f>RTD("rtdtrading.rtdserver",, "T&amp;T0", "PRE", 114)</f>
        <v>7346.75</v>
      </c>
      <c r="C122" s="28">
        <f>RTD("rtdtrading.rtdserver",, "T&amp;T0", "QUL", 114)</f>
        <v>1</v>
      </c>
      <c r="D122" s="28" t="str">
        <f>RTD("rtdtrading.rtdserver",, "T&amp;T0", "AGR", 114)</f>
        <v>Comprador</v>
      </c>
      <c r="G122" s="36" t="str">
        <f>RTD("rtdtrading.rtdserver",, "T&amp;T1", "DAT", 114)</f>
        <v>19:06:47.262</v>
      </c>
      <c r="H122" s="37">
        <f>RTD("rtdtrading.rtdserver",, "T&amp;T1", "PRE", 114)</f>
        <v>7347.25</v>
      </c>
      <c r="I122" s="38">
        <f>RTD("rtdtrading.rtdserver",, "T&amp;T1", "QUL", 114)</f>
        <v>2</v>
      </c>
      <c r="J122" s="39" t="str">
        <f>RTD("rtdtrading.rtdserver",, "T&amp;T1", "AGR", 114)</f>
        <v>Vendedor</v>
      </c>
    </row>
    <row r="123" spans="1:10" x14ac:dyDescent="0.25">
      <c r="A123" s="44" t="str">
        <f>RTD("rtdtrading.rtdserver",, "T&amp;T0", "DAT", 115)</f>
        <v>19:06:23.733</v>
      </c>
      <c r="B123" s="27">
        <f>RTD("rtdtrading.rtdserver",, "T&amp;T0", "PRE", 115)</f>
        <v>7346.75</v>
      </c>
      <c r="C123" s="28">
        <f>RTD("rtdtrading.rtdserver",, "T&amp;T0", "QUL", 115)</f>
        <v>1</v>
      </c>
      <c r="D123" s="28" t="str">
        <f>RTD("rtdtrading.rtdserver",, "T&amp;T0", "AGR", 115)</f>
        <v>Comprador</v>
      </c>
      <c r="G123" s="36" t="str">
        <f>RTD("rtdtrading.rtdserver",, "T&amp;T1", "DAT", 115)</f>
        <v>19:06:47.262</v>
      </c>
      <c r="H123" s="37">
        <f>RTD("rtdtrading.rtdserver",, "T&amp;T1", "PRE", 115)</f>
        <v>7347.25</v>
      </c>
      <c r="I123" s="38">
        <f>RTD("rtdtrading.rtdserver",, "T&amp;T1", "QUL", 115)</f>
        <v>1</v>
      </c>
      <c r="J123" s="39" t="str">
        <f>RTD("rtdtrading.rtdserver",, "T&amp;T1", "AGR", 115)</f>
        <v>Vendedor</v>
      </c>
    </row>
    <row r="124" spans="1:10" x14ac:dyDescent="0.25">
      <c r="A124" s="44" t="str">
        <f>RTD("rtdtrading.rtdserver",, "T&amp;T0", "DAT", 116)</f>
        <v>19:06:23.733</v>
      </c>
      <c r="B124" s="27">
        <f>RTD("rtdtrading.rtdserver",, "T&amp;T0", "PRE", 116)</f>
        <v>7346.75</v>
      </c>
      <c r="C124" s="28">
        <f>RTD("rtdtrading.rtdserver",, "T&amp;T0", "QUL", 116)</f>
        <v>1</v>
      </c>
      <c r="D124" s="28" t="str">
        <f>RTD("rtdtrading.rtdserver",, "T&amp;T0", "AGR", 116)</f>
        <v>Comprador</v>
      </c>
      <c r="G124" s="36" t="str">
        <f>RTD("rtdtrading.rtdserver",, "T&amp;T1", "DAT", 116)</f>
        <v>19:06:47.113</v>
      </c>
      <c r="H124" s="37">
        <f>RTD("rtdtrading.rtdserver",, "T&amp;T1", "PRE", 116)</f>
        <v>7347.5</v>
      </c>
      <c r="I124" s="38">
        <f>RTD("rtdtrading.rtdserver",, "T&amp;T1", "QUL", 116)</f>
        <v>1</v>
      </c>
      <c r="J124" s="39" t="str">
        <f>RTD("rtdtrading.rtdserver",, "T&amp;T1", "AGR", 116)</f>
        <v>Vendedor</v>
      </c>
    </row>
    <row r="125" spans="1:10" x14ac:dyDescent="0.25">
      <c r="A125" s="44" t="str">
        <f>RTD("rtdtrading.rtdserver",, "T&amp;T0", "DAT", 117)</f>
        <v>19:06:23.733</v>
      </c>
      <c r="B125" s="27">
        <f>RTD("rtdtrading.rtdserver",, "T&amp;T0", "PRE", 117)</f>
        <v>7346.75</v>
      </c>
      <c r="C125" s="28">
        <f>RTD("rtdtrading.rtdserver",, "T&amp;T0", "QUL", 117)</f>
        <v>1</v>
      </c>
      <c r="D125" s="28" t="str">
        <f>RTD("rtdtrading.rtdserver",, "T&amp;T0", "AGR", 117)</f>
        <v>Comprador</v>
      </c>
      <c r="G125" s="36" t="str">
        <f>RTD("rtdtrading.rtdserver",, "T&amp;T1", "DAT", 117)</f>
        <v>19:06:47.113</v>
      </c>
      <c r="H125" s="37">
        <f>RTD("rtdtrading.rtdserver",, "T&amp;T1", "PRE", 117)</f>
        <v>7347.5</v>
      </c>
      <c r="I125" s="38">
        <f>RTD("rtdtrading.rtdserver",, "T&amp;T1", "QUL", 117)</f>
        <v>2</v>
      </c>
      <c r="J125" s="39" t="str">
        <f>RTD("rtdtrading.rtdserver",, "T&amp;T1", "AGR", 117)</f>
        <v>Vendedor</v>
      </c>
    </row>
    <row r="126" spans="1:10" x14ac:dyDescent="0.25">
      <c r="A126" s="44" t="str">
        <f>RTD("rtdtrading.rtdserver",, "T&amp;T0", "DAT", 118)</f>
        <v>19:06:23.733</v>
      </c>
      <c r="B126" s="27">
        <f>RTD("rtdtrading.rtdserver",, "T&amp;T0", "PRE", 118)</f>
        <v>7346.75</v>
      </c>
      <c r="C126" s="28">
        <f>RTD("rtdtrading.rtdserver",, "T&amp;T0", "QUL", 118)</f>
        <v>6</v>
      </c>
      <c r="D126" s="28" t="str">
        <f>RTD("rtdtrading.rtdserver",, "T&amp;T0", "AGR", 118)</f>
        <v>Comprador</v>
      </c>
      <c r="G126" s="36" t="str">
        <f>RTD("rtdtrading.rtdserver",, "T&amp;T1", "DAT", 118)</f>
        <v>19:06:46.654</v>
      </c>
      <c r="H126" s="37">
        <f>RTD("rtdtrading.rtdserver",, "T&amp;T1", "PRE", 118)</f>
        <v>7347.5</v>
      </c>
      <c r="I126" s="38">
        <f>RTD("rtdtrading.rtdserver",, "T&amp;T1", "QUL", 118)</f>
        <v>1</v>
      </c>
      <c r="J126" s="39" t="str">
        <f>RTD("rtdtrading.rtdserver",, "T&amp;T1", "AGR", 118)</f>
        <v>Vendedor</v>
      </c>
    </row>
    <row r="127" spans="1:10" x14ac:dyDescent="0.25">
      <c r="A127" s="44" t="str">
        <f>RTD("rtdtrading.rtdserver",, "T&amp;T0", "DAT", 119)</f>
        <v>19:06:22.458</v>
      </c>
      <c r="B127" s="27">
        <f>RTD("rtdtrading.rtdserver",, "T&amp;T0", "PRE", 119)</f>
        <v>7346.75</v>
      </c>
      <c r="C127" s="28">
        <f>RTD("rtdtrading.rtdserver",, "T&amp;T0", "QUL", 119)</f>
        <v>2</v>
      </c>
      <c r="D127" s="28" t="str">
        <f>RTD("rtdtrading.rtdserver",, "T&amp;T0", "AGR", 119)</f>
        <v>Comprador</v>
      </c>
      <c r="G127" s="36" t="str">
        <f>RTD("rtdtrading.rtdserver",, "T&amp;T1", "DAT", 119)</f>
        <v>19:06:46.643</v>
      </c>
      <c r="H127" s="37">
        <f>RTD("rtdtrading.rtdserver",, "T&amp;T1", "PRE", 119)</f>
        <v>7347.5</v>
      </c>
      <c r="I127" s="38">
        <f>RTD("rtdtrading.rtdserver",, "T&amp;T1", "QUL", 119)</f>
        <v>1</v>
      </c>
      <c r="J127" s="39" t="str">
        <f>RTD("rtdtrading.rtdserver",, "T&amp;T1", "AGR", 119)</f>
        <v>Vendedor</v>
      </c>
    </row>
    <row r="128" spans="1:10" x14ac:dyDescent="0.25">
      <c r="A128" s="44" t="str">
        <f>RTD("rtdtrading.rtdserver",, "T&amp;T0", "DAT", 120)</f>
        <v>19:06:20.296</v>
      </c>
      <c r="B128" s="27">
        <f>RTD("rtdtrading.rtdserver",, "T&amp;T0", "PRE", 120)</f>
        <v>7346.75</v>
      </c>
      <c r="C128" s="28">
        <f>RTD("rtdtrading.rtdserver",, "T&amp;T0", "QUL", 120)</f>
        <v>1</v>
      </c>
      <c r="D128" s="28" t="str">
        <f>RTD("rtdtrading.rtdserver",, "T&amp;T0", "AGR", 120)</f>
        <v>Comprador</v>
      </c>
      <c r="G128" s="36" t="str">
        <f>RTD("rtdtrading.rtdserver",, "T&amp;T1", "DAT", 120)</f>
        <v>19:06:44.024</v>
      </c>
      <c r="H128" s="37">
        <f>RTD("rtdtrading.rtdserver",, "T&amp;T1", "PRE", 120)</f>
        <v>7347.25</v>
      </c>
      <c r="I128" s="38">
        <f>RTD("rtdtrading.rtdserver",, "T&amp;T1", "QUL", 120)</f>
        <v>1</v>
      </c>
      <c r="J128" s="39" t="str">
        <f>RTD("rtdtrading.rtdserver",, "T&amp;T1", "AGR", 120)</f>
        <v>Vendedor</v>
      </c>
    </row>
    <row r="129" spans="1:10" x14ac:dyDescent="0.25">
      <c r="A129" s="44" t="str">
        <f>RTD("rtdtrading.rtdserver",, "T&amp;T0", "DAT", 121)</f>
        <v>19:06:19.632</v>
      </c>
      <c r="B129" s="27">
        <f>RTD("rtdtrading.rtdserver",, "T&amp;T0", "PRE", 121)</f>
        <v>7346.75</v>
      </c>
      <c r="C129" s="28">
        <f>RTD("rtdtrading.rtdserver",, "T&amp;T0", "QUL", 121)</f>
        <v>1</v>
      </c>
      <c r="D129" s="28" t="str">
        <f>RTD("rtdtrading.rtdserver",, "T&amp;T0", "AGR", 121)</f>
        <v>Comprador</v>
      </c>
      <c r="G129" s="36" t="str">
        <f>RTD("rtdtrading.rtdserver",, "T&amp;T1", "DAT", 121)</f>
        <v>19:06:43.951</v>
      </c>
      <c r="H129" s="37">
        <f>RTD("rtdtrading.rtdserver",, "T&amp;T1", "PRE", 121)</f>
        <v>7347.25</v>
      </c>
      <c r="I129" s="38">
        <f>RTD("rtdtrading.rtdserver",, "T&amp;T1", "QUL", 121)</f>
        <v>1</v>
      </c>
      <c r="J129" s="39" t="str">
        <f>RTD("rtdtrading.rtdserver",, "T&amp;T1", "AGR", 121)</f>
        <v>Vendedor</v>
      </c>
    </row>
    <row r="130" spans="1:10" x14ac:dyDescent="0.25">
      <c r="A130" s="44" t="str">
        <f>RTD("rtdtrading.rtdserver",, "T&amp;T0", "DAT", 122)</f>
        <v>19:06:19.126</v>
      </c>
      <c r="B130" s="27">
        <f>RTD("rtdtrading.rtdserver",, "T&amp;T0", "PRE", 122)</f>
        <v>7346.75</v>
      </c>
      <c r="C130" s="28">
        <f>RTD("rtdtrading.rtdserver",, "T&amp;T0", "QUL", 122)</f>
        <v>6</v>
      </c>
      <c r="D130" s="28" t="str">
        <f>RTD("rtdtrading.rtdserver",, "T&amp;T0", "AGR", 122)</f>
        <v>Comprador</v>
      </c>
      <c r="G130" s="36" t="str">
        <f>RTD("rtdtrading.rtdserver",, "T&amp;T1", "DAT", 122)</f>
        <v>19:06:43.099</v>
      </c>
      <c r="H130" s="37">
        <f>RTD("rtdtrading.rtdserver",, "T&amp;T1", "PRE", 122)</f>
        <v>7347.25</v>
      </c>
      <c r="I130" s="38">
        <f>RTD("rtdtrading.rtdserver",, "T&amp;T1", "QUL", 122)</f>
        <v>5</v>
      </c>
      <c r="J130" s="39" t="str">
        <f>RTD("rtdtrading.rtdserver",, "T&amp;T1", "AGR", 122)</f>
        <v>Vendedor</v>
      </c>
    </row>
    <row r="131" spans="1:10" x14ac:dyDescent="0.25">
      <c r="A131" s="44" t="str">
        <f>RTD("rtdtrading.rtdserver",, "T&amp;T0", "DAT", 123)</f>
        <v>19:06:19.011</v>
      </c>
      <c r="B131" s="27">
        <f>RTD("rtdtrading.rtdserver",, "T&amp;T0", "PRE", 123)</f>
        <v>7346.75</v>
      </c>
      <c r="C131" s="28">
        <f>RTD("rtdtrading.rtdserver",, "T&amp;T0", "QUL", 123)</f>
        <v>1</v>
      </c>
      <c r="D131" s="28" t="str">
        <f>RTD("rtdtrading.rtdserver",, "T&amp;T0", "AGR", 123)</f>
        <v>Comprador</v>
      </c>
      <c r="G131" s="36" t="str">
        <f>RTD("rtdtrading.rtdserver",, "T&amp;T1", "DAT", 123)</f>
        <v>19:06:42.378</v>
      </c>
      <c r="H131" s="37">
        <f>RTD("rtdtrading.rtdserver",, "T&amp;T1", "PRE", 123)</f>
        <v>7347.25</v>
      </c>
      <c r="I131" s="38">
        <f>RTD("rtdtrading.rtdserver",, "T&amp;T1", "QUL", 123)</f>
        <v>2</v>
      </c>
      <c r="J131" s="39" t="str">
        <f>RTD("rtdtrading.rtdserver",, "T&amp;T1", "AGR", 123)</f>
        <v>Vendedor</v>
      </c>
    </row>
    <row r="132" spans="1:10" x14ac:dyDescent="0.25">
      <c r="A132" s="44" t="str">
        <f>RTD("rtdtrading.rtdserver",, "T&amp;T0", "DAT", 124)</f>
        <v>19:06:19.009</v>
      </c>
      <c r="B132" s="27">
        <f>RTD("rtdtrading.rtdserver",, "T&amp;T0", "PRE", 124)</f>
        <v>7346.5</v>
      </c>
      <c r="C132" s="28">
        <f>RTD("rtdtrading.rtdserver",, "T&amp;T0", "QUL", 124)</f>
        <v>1</v>
      </c>
      <c r="D132" s="28" t="str">
        <f>RTD("rtdtrading.rtdserver",, "T&amp;T0", "AGR", 124)</f>
        <v>Comprador</v>
      </c>
      <c r="G132" s="36" t="str">
        <f>RTD("rtdtrading.rtdserver",, "T&amp;T1", "DAT", 124)</f>
        <v>19:06:42.089</v>
      </c>
      <c r="H132" s="37">
        <f>RTD("rtdtrading.rtdserver",, "T&amp;T1", "PRE", 124)</f>
        <v>7347.5</v>
      </c>
      <c r="I132" s="38">
        <f>RTD("rtdtrading.rtdserver",, "T&amp;T1", "QUL", 124)</f>
        <v>2</v>
      </c>
      <c r="J132" s="39" t="str">
        <f>RTD("rtdtrading.rtdserver",, "T&amp;T1", "AGR", 124)</f>
        <v>Vendedor</v>
      </c>
    </row>
    <row r="133" spans="1:10" x14ac:dyDescent="0.25">
      <c r="A133" s="44" t="str">
        <f>RTD("rtdtrading.rtdserver",, "T&amp;T0", "DAT", 125)</f>
        <v>19:06:19.009</v>
      </c>
      <c r="B133" s="27">
        <f>RTD("rtdtrading.rtdserver",, "T&amp;T0", "PRE", 125)</f>
        <v>7346.5</v>
      </c>
      <c r="C133" s="28">
        <f>RTD("rtdtrading.rtdserver",, "T&amp;T0", "QUL", 125)</f>
        <v>1</v>
      </c>
      <c r="D133" s="28" t="str">
        <f>RTD("rtdtrading.rtdserver",, "T&amp;T0", "AGR", 125)</f>
        <v>Comprador</v>
      </c>
      <c r="G133" s="36" t="str">
        <f>RTD("rtdtrading.rtdserver",, "T&amp;T1", "DAT", 125)</f>
        <v>19:06:40.997</v>
      </c>
      <c r="H133" s="37">
        <f>RTD("rtdtrading.rtdserver",, "T&amp;T1", "PRE", 125)</f>
        <v>7347.5</v>
      </c>
      <c r="I133" s="38">
        <f>RTD("rtdtrading.rtdserver",, "T&amp;T1", "QUL", 125)</f>
        <v>2</v>
      </c>
      <c r="J133" s="39" t="str">
        <f>RTD("rtdtrading.rtdserver",, "T&amp;T1", "AGR", 125)</f>
        <v>Vendedor</v>
      </c>
    </row>
    <row r="134" spans="1:10" x14ac:dyDescent="0.25">
      <c r="A134" s="44" t="str">
        <f>RTD("rtdtrading.rtdserver",, "T&amp;T0", "DAT", 126)</f>
        <v>19:06:19.009</v>
      </c>
      <c r="B134" s="27">
        <f>RTD("rtdtrading.rtdserver",, "T&amp;T0", "PRE", 126)</f>
        <v>7346.5</v>
      </c>
      <c r="C134" s="28">
        <f>RTD("rtdtrading.rtdserver",, "T&amp;T0", "QUL", 126)</f>
        <v>1</v>
      </c>
      <c r="D134" s="28" t="str">
        <f>RTD("rtdtrading.rtdserver",, "T&amp;T0", "AGR", 126)</f>
        <v>Comprador</v>
      </c>
      <c r="G134" s="36" t="str">
        <f>RTD("rtdtrading.rtdserver",, "T&amp;T1", "DAT", 126)</f>
        <v>19:06:40.424</v>
      </c>
      <c r="H134" s="37">
        <f>RTD("rtdtrading.rtdserver",, "T&amp;T1", "PRE", 126)</f>
        <v>7347.5</v>
      </c>
      <c r="I134" s="38">
        <f>RTD("rtdtrading.rtdserver",, "T&amp;T1", "QUL", 126)</f>
        <v>1</v>
      </c>
      <c r="J134" s="39" t="str">
        <f>RTD("rtdtrading.rtdserver",, "T&amp;T1", "AGR", 126)</f>
        <v>Vendedor</v>
      </c>
    </row>
    <row r="135" spans="1:10" x14ac:dyDescent="0.25">
      <c r="A135" s="44" t="str">
        <f>RTD("rtdtrading.rtdserver",, "T&amp;T0", "DAT", 127)</f>
        <v>19:06:19.009</v>
      </c>
      <c r="B135" s="27">
        <f>RTD("rtdtrading.rtdserver",, "T&amp;T0", "PRE", 127)</f>
        <v>7346.5</v>
      </c>
      <c r="C135" s="28">
        <f>RTD("rtdtrading.rtdserver",, "T&amp;T0", "QUL", 127)</f>
        <v>3</v>
      </c>
      <c r="D135" s="28" t="str">
        <f>RTD("rtdtrading.rtdserver",, "T&amp;T0", "AGR", 127)</f>
        <v>Comprador</v>
      </c>
      <c r="G135" s="36" t="str">
        <f>RTD("rtdtrading.rtdserver",, "T&amp;T1", "DAT", 127)</f>
        <v>19:06:40.424</v>
      </c>
      <c r="H135" s="37">
        <f>RTD("rtdtrading.rtdserver",, "T&amp;T1", "PRE", 127)</f>
        <v>7347.5</v>
      </c>
      <c r="I135" s="38">
        <f>RTD("rtdtrading.rtdserver",, "T&amp;T1", "QUL", 127)</f>
        <v>1</v>
      </c>
      <c r="J135" s="39" t="str">
        <f>RTD("rtdtrading.rtdserver",, "T&amp;T1", "AGR", 127)</f>
        <v>Vendedor</v>
      </c>
    </row>
    <row r="136" spans="1:10" x14ac:dyDescent="0.25">
      <c r="A136" s="44" t="str">
        <f>RTD("rtdtrading.rtdserver",, "T&amp;T0", "DAT", 128)</f>
        <v>19:06:19.009</v>
      </c>
      <c r="B136" s="27">
        <f>RTD("rtdtrading.rtdserver",, "T&amp;T0", "PRE", 128)</f>
        <v>7346.5</v>
      </c>
      <c r="C136" s="28">
        <f>RTD("rtdtrading.rtdserver",, "T&amp;T0", "QUL", 128)</f>
        <v>1</v>
      </c>
      <c r="D136" s="28" t="str">
        <f>RTD("rtdtrading.rtdserver",, "T&amp;T0", "AGR", 128)</f>
        <v>Comprador</v>
      </c>
      <c r="G136" s="36" t="str">
        <f>RTD("rtdtrading.rtdserver",, "T&amp;T1", "DAT", 128)</f>
        <v>19:06:40.424</v>
      </c>
      <c r="H136" s="37">
        <f>RTD("rtdtrading.rtdserver",, "T&amp;T1", "PRE", 128)</f>
        <v>7347.5</v>
      </c>
      <c r="I136" s="38">
        <f>RTD("rtdtrading.rtdserver",, "T&amp;T1", "QUL", 128)</f>
        <v>2</v>
      </c>
      <c r="J136" s="39" t="str">
        <f>RTD("rtdtrading.rtdserver",, "T&amp;T1", "AGR", 128)</f>
        <v>Vendedor</v>
      </c>
    </row>
    <row r="137" spans="1:10" x14ac:dyDescent="0.25">
      <c r="A137" s="44" t="str">
        <f>RTD("rtdtrading.rtdserver",, "T&amp;T0", "DAT", 129)</f>
        <v>19:06:19.009</v>
      </c>
      <c r="B137" s="27">
        <f>RTD("rtdtrading.rtdserver",, "T&amp;T0", "PRE", 129)</f>
        <v>7346.5</v>
      </c>
      <c r="C137" s="28">
        <f>RTD("rtdtrading.rtdserver",, "T&amp;T0", "QUL", 129)</f>
        <v>1</v>
      </c>
      <c r="D137" s="28" t="str">
        <f>RTD("rtdtrading.rtdserver",, "T&amp;T0", "AGR", 129)</f>
        <v>Comprador</v>
      </c>
      <c r="G137" s="36" t="str">
        <f>RTD("rtdtrading.rtdserver",, "T&amp;T1", "DAT", 129)</f>
        <v>19:06:40.043</v>
      </c>
      <c r="H137" s="37">
        <f>RTD("rtdtrading.rtdserver",, "T&amp;T1", "PRE", 129)</f>
        <v>7347.75</v>
      </c>
      <c r="I137" s="38">
        <f>RTD("rtdtrading.rtdserver",, "T&amp;T1", "QUL", 129)</f>
        <v>1</v>
      </c>
      <c r="J137" s="39" t="str">
        <f>RTD("rtdtrading.rtdserver",, "T&amp;T1", "AGR", 129)</f>
        <v>Vendedor</v>
      </c>
    </row>
    <row r="138" spans="1:10" x14ac:dyDescent="0.25">
      <c r="A138" s="44" t="str">
        <f>RTD("rtdtrading.rtdserver",, "T&amp;T0", "DAT", 130)</f>
        <v>19:06:19.009</v>
      </c>
      <c r="B138" s="27">
        <f>RTD("rtdtrading.rtdserver",, "T&amp;T0", "PRE", 130)</f>
        <v>7346.5</v>
      </c>
      <c r="C138" s="28">
        <f>RTD("rtdtrading.rtdserver",, "T&amp;T0", "QUL", 130)</f>
        <v>1</v>
      </c>
      <c r="D138" s="28" t="str">
        <f>RTD("rtdtrading.rtdserver",, "T&amp;T0", "AGR", 130)</f>
        <v>Comprador</v>
      </c>
      <c r="G138" s="36" t="str">
        <f>RTD("rtdtrading.rtdserver",, "T&amp;T1", "DAT", 130)</f>
        <v>19:06:40.043</v>
      </c>
      <c r="H138" s="37">
        <f>RTD("rtdtrading.rtdserver",, "T&amp;T1", "PRE", 130)</f>
        <v>7347.75</v>
      </c>
      <c r="I138" s="38">
        <f>RTD("rtdtrading.rtdserver",, "T&amp;T1", "QUL", 130)</f>
        <v>2</v>
      </c>
      <c r="J138" s="39" t="str">
        <f>RTD("rtdtrading.rtdserver",, "T&amp;T1", "AGR", 130)</f>
        <v>Vendedor</v>
      </c>
    </row>
    <row r="139" spans="1:10" x14ac:dyDescent="0.25">
      <c r="A139" s="44" t="str">
        <f>RTD("rtdtrading.rtdserver",, "T&amp;T0", "DAT", 131)</f>
        <v>19:06:19.009</v>
      </c>
      <c r="B139" s="27">
        <f>RTD("rtdtrading.rtdserver",, "T&amp;T0", "PRE", 131)</f>
        <v>7346.5</v>
      </c>
      <c r="C139" s="28">
        <f>RTD("rtdtrading.rtdserver",, "T&amp;T0", "QUL", 131)</f>
        <v>9</v>
      </c>
      <c r="D139" s="28" t="str">
        <f>RTD("rtdtrading.rtdserver",, "T&amp;T0", "AGR", 131)</f>
        <v>Comprador</v>
      </c>
      <c r="G139" s="36" t="str">
        <f>RTD("rtdtrading.rtdserver",, "T&amp;T1", "DAT", 131)</f>
        <v>19:06:40.043</v>
      </c>
      <c r="H139" s="37">
        <f>RTD("rtdtrading.rtdserver",, "T&amp;T1", "PRE", 131)</f>
        <v>7347.75</v>
      </c>
      <c r="I139" s="38">
        <f>RTD("rtdtrading.rtdserver",, "T&amp;T1", "QUL", 131)</f>
        <v>5</v>
      </c>
      <c r="J139" s="39" t="str">
        <f>RTD("rtdtrading.rtdserver",, "T&amp;T1", "AGR", 131)</f>
        <v>Vendedor</v>
      </c>
    </row>
    <row r="140" spans="1:10" x14ac:dyDescent="0.25">
      <c r="A140" s="44" t="str">
        <f>RTD("rtdtrading.rtdserver",, "T&amp;T0", "DAT", 132)</f>
        <v>19:06:19.009</v>
      </c>
      <c r="B140" s="27">
        <f>RTD("rtdtrading.rtdserver",, "T&amp;T0", "PRE", 132)</f>
        <v>7346.5</v>
      </c>
      <c r="C140" s="28">
        <f>RTD("rtdtrading.rtdserver",, "T&amp;T0", "QUL", 132)</f>
        <v>3</v>
      </c>
      <c r="D140" s="28" t="str">
        <f>RTD("rtdtrading.rtdserver",, "T&amp;T0", "AGR", 132)</f>
        <v>Comprador</v>
      </c>
      <c r="G140" s="36" t="str">
        <f>RTD("rtdtrading.rtdserver",, "T&amp;T1", "DAT", 132)</f>
        <v>19:06:40.012</v>
      </c>
      <c r="H140" s="37">
        <f>RTD("rtdtrading.rtdserver",, "T&amp;T1", "PRE", 132)</f>
        <v>7347.75</v>
      </c>
      <c r="I140" s="38">
        <f>RTD("rtdtrading.rtdserver",, "T&amp;T1", "QUL", 132)</f>
        <v>1</v>
      </c>
      <c r="J140" s="39" t="str">
        <f>RTD("rtdtrading.rtdserver",, "T&amp;T1", "AGR", 132)</f>
        <v>Vendedor</v>
      </c>
    </row>
    <row r="141" spans="1:10" x14ac:dyDescent="0.25">
      <c r="A141" s="44" t="str">
        <f>RTD("rtdtrading.rtdserver",, "T&amp;T0", "DAT", 133)</f>
        <v>19:06:19.009</v>
      </c>
      <c r="B141" s="27">
        <f>RTD("rtdtrading.rtdserver",, "T&amp;T0", "PRE", 133)</f>
        <v>7346.5</v>
      </c>
      <c r="C141" s="28">
        <f>RTD("rtdtrading.rtdserver",, "T&amp;T0", "QUL", 133)</f>
        <v>1</v>
      </c>
      <c r="D141" s="28" t="str">
        <f>RTD("rtdtrading.rtdserver",, "T&amp;T0", "AGR", 133)</f>
        <v>Comprador</v>
      </c>
      <c r="G141" s="36" t="str">
        <f>RTD("rtdtrading.rtdserver",, "T&amp;T1", "DAT", 133)</f>
        <v>19:06:40.010</v>
      </c>
      <c r="H141" s="37">
        <f>RTD("rtdtrading.rtdserver",, "T&amp;T1", "PRE", 133)</f>
        <v>7347.75</v>
      </c>
      <c r="I141" s="38">
        <f>RTD("rtdtrading.rtdserver",, "T&amp;T1", "QUL", 133)</f>
        <v>1</v>
      </c>
      <c r="J141" s="39" t="str">
        <f>RTD("rtdtrading.rtdserver",, "T&amp;T1", "AGR", 133)</f>
        <v>Vendedor</v>
      </c>
    </row>
    <row r="142" spans="1:10" x14ac:dyDescent="0.25">
      <c r="A142" s="44" t="str">
        <f>RTD("rtdtrading.rtdserver",, "T&amp;T0", "DAT", 134)</f>
        <v>19:06:19.009</v>
      </c>
      <c r="B142" s="27">
        <f>RTD("rtdtrading.rtdserver",, "T&amp;T0", "PRE", 134)</f>
        <v>7346.5</v>
      </c>
      <c r="C142" s="28">
        <f>RTD("rtdtrading.rtdserver",, "T&amp;T0", "QUL", 134)</f>
        <v>9</v>
      </c>
      <c r="D142" s="28" t="str">
        <f>RTD("rtdtrading.rtdserver",, "T&amp;T0", "AGR", 134)</f>
        <v>Comprador</v>
      </c>
      <c r="G142" s="36" t="str">
        <f>RTD("rtdtrading.rtdserver",, "T&amp;T1", "DAT", 134)</f>
        <v>19:06:40.010</v>
      </c>
      <c r="H142" s="37">
        <f>RTD("rtdtrading.rtdserver",, "T&amp;T1", "PRE", 134)</f>
        <v>7347.75</v>
      </c>
      <c r="I142" s="38">
        <f>RTD("rtdtrading.rtdserver",, "T&amp;T1", "QUL", 134)</f>
        <v>1</v>
      </c>
      <c r="J142" s="39" t="str">
        <f>RTD("rtdtrading.rtdserver",, "T&amp;T1", "AGR", 134)</f>
        <v>Vendedor</v>
      </c>
    </row>
    <row r="143" spans="1:10" x14ac:dyDescent="0.25">
      <c r="A143" s="44" t="str">
        <f>RTD("rtdtrading.rtdserver",, "T&amp;T0", "DAT", 135)</f>
        <v>19:06:17.769</v>
      </c>
      <c r="B143" s="27">
        <f>RTD("rtdtrading.rtdserver",, "T&amp;T0", "PRE", 135)</f>
        <v>7346.5</v>
      </c>
      <c r="C143" s="28">
        <f>RTD("rtdtrading.rtdserver",, "T&amp;T0", "QUL", 135)</f>
        <v>3</v>
      </c>
      <c r="D143" s="28" t="str">
        <f>RTD("rtdtrading.rtdserver",, "T&amp;T0", "AGR", 135)</f>
        <v>Comprador</v>
      </c>
      <c r="G143" s="36" t="str">
        <f>RTD("rtdtrading.rtdserver",, "T&amp;T1", "DAT", 135)</f>
        <v>19:06:40.010</v>
      </c>
      <c r="H143" s="37">
        <f>RTD("rtdtrading.rtdserver",, "T&amp;T1", "PRE", 135)</f>
        <v>7347.75</v>
      </c>
      <c r="I143" s="38">
        <f>RTD("rtdtrading.rtdserver",, "T&amp;T1", "QUL", 135)</f>
        <v>1</v>
      </c>
      <c r="J143" s="39" t="str">
        <f>RTD("rtdtrading.rtdserver",, "T&amp;T1", "AGR", 135)</f>
        <v>Vendedor</v>
      </c>
    </row>
    <row r="144" spans="1:10" x14ac:dyDescent="0.25">
      <c r="A144" s="44" t="str">
        <f>RTD("rtdtrading.rtdserver",, "T&amp;T0", "DAT", 136)</f>
        <v>19:06:16.805</v>
      </c>
      <c r="B144" s="27">
        <f>RTD("rtdtrading.rtdserver",, "T&amp;T0", "PRE", 136)</f>
        <v>7346.5</v>
      </c>
      <c r="C144" s="28">
        <f>RTD("rtdtrading.rtdserver",, "T&amp;T0", "QUL", 136)</f>
        <v>1</v>
      </c>
      <c r="D144" s="28" t="str">
        <f>RTD("rtdtrading.rtdserver",, "T&amp;T0", "AGR", 136)</f>
        <v>Comprador</v>
      </c>
      <c r="G144" s="36" t="str">
        <f>RTD("rtdtrading.rtdserver",, "T&amp;T1", "DAT", 136)</f>
        <v>19:06:40.003</v>
      </c>
      <c r="H144" s="37">
        <f>RTD("rtdtrading.rtdserver",, "T&amp;T1", "PRE", 136)</f>
        <v>7347.75</v>
      </c>
      <c r="I144" s="38">
        <f>RTD("rtdtrading.rtdserver",, "T&amp;T1", "QUL", 136)</f>
        <v>1</v>
      </c>
      <c r="J144" s="39" t="str">
        <f>RTD("rtdtrading.rtdserver",, "T&amp;T1", "AGR", 136)</f>
        <v>Vendedor</v>
      </c>
    </row>
    <row r="145" spans="1:10" x14ac:dyDescent="0.25">
      <c r="A145" s="44" t="str">
        <f>RTD("rtdtrading.rtdserver",, "T&amp;T0", "DAT", 137)</f>
        <v>19:06:16.805</v>
      </c>
      <c r="B145" s="27">
        <f>RTD("rtdtrading.rtdserver",, "T&amp;T0", "PRE", 137)</f>
        <v>7346.5</v>
      </c>
      <c r="C145" s="28">
        <f>RTD("rtdtrading.rtdserver",, "T&amp;T0", "QUL", 137)</f>
        <v>1</v>
      </c>
      <c r="D145" s="28" t="str">
        <f>RTD("rtdtrading.rtdserver",, "T&amp;T0", "AGR", 137)</f>
        <v>Comprador</v>
      </c>
      <c r="G145" s="36" t="str">
        <f>RTD("rtdtrading.rtdserver",, "T&amp;T1", "DAT", 137)</f>
        <v>19:06:38.785</v>
      </c>
      <c r="H145" s="37">
        <f>RTD("rtdtrading.rtdserver",, "T&amp;T1", "PRE", 137)</f>
        <v>7347.75</v>
      </c>
      <c r="I145" s="38">
        <f>RTD("rtdtrading.rtdserver",, "T&amp;T1", "QUL", 137)</f>
        <v>1</v>
      </c>
      <c r="J145" s="39" t="str">
        <f>RTD("rtdtrading.rtdserver",, "T&amp;T1", "AGR", 137)</f>
        <v>Vendedor</v>
      </c>
    </row>
    <row r="146" spans="1:10" x14ac:dyDescent="0.25">
      <c r="A146" s="44" t="str">
        <f>RTD("rtdtrading.rtdserver",, "T&amp;T0", "DAT", 138)</f>
        <v>19:06:16.804</v>
      </c>
      <c r="B146" s="27">
        <f>RTD("rtdtrading.rtdserver",, "T&amp;T0", "PRE", 138)</f>
        <v>7346.75</v>
      </c>
      <c r="C146" s="28">
        <f>RTD("rtdtrading.rtdserver",, "T&amp;T0", "QUL", 138)</f>
        <v>1</v>
      </c>
      <c r="D146" s="28" t="str">
        <f>RTD("rtdtrading.rtdserver",, "T&amp;T0", "AGR", 138)</f>
        <v>Comprador</v>
      </c>
      <c r="G146" s="36" t="str">
        <f>RTD("rtdtrading.rtdserver",, "T&amp;T1", "DAT", 138)</f>
        <v>19:06:38.733</v>
      </c>
      <c r="H146" s="37">
        <f>RTD("rtdtrading.rtdserver",, "T&amp;T1", "PRE", 138)</f>
        <v>7347.75</v>
      </c>
      <c r="I146" s="38">
        <f>RTD("rtdtrading.rtdserver",, "T&amp;T1", "QUL", 138)</f>
        <v>1</v>
      </c>
      <c r="J146" s="39" t="str">
        <f>RTD("rtdtrading.rtdserver",, "T&amp;T1", "AGR", 138)</f>
        <v>Vendedor</v>
      </c>
    </row>
    <row r="147" spans="1:10" x14ac:dyDescent="0.25">
      <c r="A147" s="44" t="str">
        <f>RTD("rtdtrading.rtdserver",, "T&amp;T0", "DAT", 139)</f>
        <v>19:06:16.069</v>
      </c>
      <c r="B147" s="27">
        <f>RTD("rtdtrading.rtdserver",, "T&amp;T0", "PRE", 139)</f>
        <v>7346.75</v>
      </c>
      <c r="C147" s="28">
        <f>RTD("rtdtrading.rtdserver",, "T&amp;T0", "QUL", 139)</f>
        <v>1</v>
      </c>
      <c r="D147" s="28" t="str">
        <f>RTD("rtdtrading.rtdserver",, "T&amp;T0", "AGR", 139)</f>
        <v>Comprador</v>
      </c>
      <c r="G147" s="36" t="str">
        <f>RTD("rtdtrading.rtdserver",, "T&amp;T1", "DAT", 139)</f>
        <v>19:06:38.610</v>
      </c>
      <c r="H147" s="37">
        <f>RTD("rtdtrading.rtdserver",, "T&amp;T1", "PRE", 139)</f>
        <v>7347.75</v>
      </c>
      <c r="I147" s="38">
        <f>RTD("rtdtrading.rtdserver",, "T&amp;T1", "QUL", 139)</f>
        <v>1</v>
      </c>
      <c r="J147" s="39" t="str">
        <f>RTD("rtdtrading.rtdserver",, "T&amp;T1", "AGR", 139)</f>
        <v>Vendedor</v>
      </c>
    </row>
    <row r="148" spans="1:10" x14ac:dyDescent="0.25">
      <c r="A148" s="44" t="str">
        <f>RTD("rtdtrading.rtdserver",, "T&amp;T0", "DAT", 140)</f>
        <v>19:06:15.994</v>
      </c>
      <c r="B148" s="27">
        <f>RTD("rtdtrading.rtdserver",, "T&amp;T0", "PRE", 140)</f>
        <v>7346.75</v>
      </c>
      <c r="C148" s="28">
        <f>RTD("rtdtrading.rtdserver",, "T&amp;T0", "QUL", 140)</f>
        <v>1</v>
      </c>
      <c r="D148" s="28" t="str">
        <f>RTD("rtdtrading.rtdserver",, "T&amp;T0", "AGR", 140)</f>
        <v>Comprador</v>
      </c>
      <c r="G148" s="36" t="str">
        <f>RTD("rtdtrading.rtdserver",, "T&amp;T1", "DAT", 140)</f>
        <v>19:06:38.587</v>
      </c>
      <c r="H148" s="37">
        <f>RTD("rtdtrading.rtdserver",, "T&amp;T1", "PRE", 140)</f>
        <v>7347.75</v>
      </c>
      <c r="I148" s="38">
        <f>RTD("rtdtrading.rtdserver",, "T&amp;T1", "QUL", 140)</f>
        <v>2</v>
      </c>
      <c r="J148" s="39" t="str">
        <f>RTD("rtdtrading.rtdserver",, "T&amp;T1", "AGR", 140)</f>
        <v>Vendedor</v>
      </c>
    </row>
    <row r="149" spans="1:10" x14ac:dyDescent="0.25">
      <c r="A149" s="44" t="str">
        <f>RTD("rtdtrading.rtdserver",, "T&amp;T0", "DAT", 141)</f>
        <v>19:06:15.627</v>
      </c>
      <c r="B149" s="27">
        <f>RTD("rtdtrading.rtdserver",, "T&amp;T0", "PRE", 141)</f>
        <v>7346.75</v>
      </c>
      <c r="C149" s="28">
        <f>RTD("rtdtrading.rtdserver",, "T&amp;T0", "QUL", 141)</f>
        <v>2</v>
      </c>
      <c r="D149" s="28" t="str">
        <f>RTD("rtdtrading.rtdserver",, "T&amp;T0", "AGR", 141)</f>
        <v>Comprador</v>
      </c>
      <c r="G149" s="36" t="str">
        <f>RTD("rtdtrading.rtdserver",, "T&amp;T1", "DAT", 141)</f>
        <v>19:06:38.452</v>
      </c>
      <c r="H149" s="37">
        <f>RTD("rtdtrading.rtdserver",, "T&amp;T1", "PRE", 141)</f>
        <v>7347.75</v>
      </c>
      <c r="I149" s="38">
        <f>RTD("rtdtrading.rtdserver",, "T&amp;T1", "QUL", 141)</f>
        <v>10</v>
      </c>
      <c r="J149" s="39" t="str">
        <f>RTD("rtdtrading.rtdserver",, "T&amp;T1", "AGR", 141)</f>
        <v>Vendedor</v>
      </c>
    </row>
    <row r="150" spans="1:10" x14ac:dyDescent="0.25">
      <c r="A150" s="44" t="str">
        <f>RTD("rtdtrading.rtdserver",, "T&amp;T0", "DAT", 142)</f>
        <v>19:06:15.607</v>
      </c>
      <c r="B150" s="27">
        <f>RTD("rtdtrading.rtdserver",, "T&amp;T0", "PRE", 142)</f>
        <v>7346.75</v>
      </c>
      <c r="C150" s="28">
        <f>RTD("rtdtrading.rtdserver",, "T&amp;T0", "QUL", 142)</f>
        <v>3</v>
      </c>
      <c r="D150" s="28" t="str">
        <f>RTD("rtdtrading.rtdserver",, "T&amp;T0", "AGR", 142)</f>
        <v>Comprador</v>
      </c>
      <c r="G150" s="36" t="str">
        <f>RTD("rtdtrading.rtdserver",, "T&amp;T1", "DAT", 142)</f>
        <v>19:06:38.452</v>
      </c>
      <c r="H150" s="37">
        <f>RTD("rtdtrading.rtdserver",, "T&amp;T1", "PRE", 142)</f>
        <v>7347.75</v>
      </c>
      <c r="I150" s="38">
        <f>RTD("rtdtrading.rtdserver",, "T&amp;T1", "QUL", 142)</f>
        <v>1</v>
      </c>
      <c r="J150" s="39" t="str">
        <f>RTD("rtdtrading.rtdserver",, "T&amp;T1", "AGR", 142)</f>
        <v>Vendedor</v>
      </c>
    </row>
    <row r="151" spans="1:10" x14ac:dyDescent="0.25">
      <c r="A151" s="44" t="str">
        <f>RTD("rtdtrading.rtdserver",, "T&amp;T0", "DAT", 143)</f>
        <v>19:06:15.606</v>
      </c>
      <c r="B151" s="27">
        <f>RTD("rtdtrading.rtdserver",, "T&amp;T0", "PRE", 143)</f>
        <v>7346.75</v>
      </c>
      <c r="C151" s="28">
        <f>RTD("rtdtrading.rtdserver",, "T&amp;T0", "QUL", 143)</f>
        <v>1</v>
      </c>
      <c r="D151" s="28" t="str">
        <f>RTD("rtdtrading.rtdserver",, "T&amp;T0", "AGR", 143)</f>
        <v>Comprador</v>
      </c>
      <c r="G151" s="36" t="str">
        <f>RTD("rtdtrading.rtdserver",, "T&amp;T1", "DAT", 143)</f>
        <v>19:06:36.816</v>
      </c>
      <c r="H151" s="37">
        <f>RTD("rtdtrading.rtdserver",, "T&amp;T1", "PRE", 143)</f>
        <v>7347.25</v>
      </c>
      <c r="I151" s="38">
        <f>RTD("rtdtrading.rtdserver",, "T&amp;T1", "QUL", 143)</f>
        <v>2</v>
      </c>
      <c r="J151" s="39" t="str">
        <f>RTD("rtdtrading.rtdserver",, "T&amp;T1", "AGR", 143)</f>
        <v>Vendedor</v>
      </c>
    </row>
    <row r="152" spans="1:10" x14ac:dyDescent="0.25">
      <c r="A152" s="44" t="str">
        <f>RTD("rtdtrading.rtdserver",, "T&amp;T0", "DAT", 144)</f>
        <v>19:06:15.606</v>
      </c>
      <c r="B152" s="27">
        <f>RTD("rtdtrading.rtdserver",, "T&amp;T0", "PRE", 144)</f>
        <v>7346.75</v>
      </c>
      <c r="C152" s="28">
        <f>RTD("rtdtrading.rtdserver",, "T&amp;T0", "QUL", 144)</f>
        <v>1</v>
      </c>
      <c r="D152" s="28" t="str">
        <f>RTD("rtdtrading.rtdserver",, "T&amp;T0", "AGR", 144)</f>
        <v>Comprador</v>
      </c>
      <c r="G152" s="36" t="str">
        <f>RTD("rtdtrading.rtdserver",, "T&amp;T1", "DAT", 144)</f>
        <v>19:06:36.800</v>
      </c>
      <c r="H152" s="37">
        <f>RTD("rtdtrading.rtdserver",, "T&amp;T1", "PRE", 144)</f>
        <v>7347.25</v>
      </c>
      <c r="I152" s="38">
        <f>RTD("rtdtrading.rtdserver",, "T&amp;T1", "QUL", 144)</f>
        <v>2</v>
      </c>
      <c r="J152" s="39" t="str">
        <f>RTD("rtdtrading.rtdserver",, "T&amp;T1", "AGR", 144)</f>
        <v>Vendedor</v>
      </c>
    </row>
    <row r="153" spans="1:10" x14ac:dyDescent="0.25">
      <c r="A153" s="44" t="str">
        <f>RTD("rtdtrading.rtdserver",, "T&amp;T0", "DAT", 145)</f>
        <v>19:06:15.606</v>
      </c>
      <c r="B153" s="27">
        <f>RTD("rtdtrading.rtdserver",, "T&amp;T0", "PRE", 145)</f>
        <v>7346.75</v>
      </c>
      <c r="C153" s="28">
        <f>RTD("rtdtrading.rtdserver",, "T&amp;T0", "QUL", 145)</f>
        <v>1</v>
      </c>
      <c r="D153" s="28" t="str">
        <f>RTD("rtdtrading.rtdserver",, "T&amp;T0", "AGR", 145)</f>
        <v>Comprador</v>
      </c>
      <c r="G153" s="36" t="str">
        <f>RTD("rtdtrading.rtdserver",, "T&amp;T1", "DAT", 145)</f>
        <v>19:06:36.781</v>
      </c>
      <c r="H153" s="37">
        <f>RTD("rtdtrading.rtdserver",, "T&amp;T1", "PRE", 145)</f>
        <v>7347.5</v>
      </c>
      <c r="I153" s="38">
        <f>RTD("rtdtrading.rtdserver",, "T&amp;T1", "QUL", 145)</f>
        <v>1</v>
      </c>
      <c r="J153" s="39" t="str">
        <f>RTD("rtdtrading.rtdserver",, "T&amp;T1", "AGR", 145)</f>
        <v>Vendedor</v>
      </c>
    </row>
    <row r="154" spans="1:10" x14ac:dyDescent="0.25">
      <c r="A154" s="44" t="str">
        <f>RTD("rtdtrading.rtdserver",, "T&amp;T0", "DAT", 146)</f>
        <v>19:06:15.605</v>
      </c>
      <c r="B154" s="27">
        <f>RTD("rtdtrading.rtdserver",, "T&amp;T0", "PRE", 146)</f>
        <v>7346.75</v>
      </c>
      <c r="C154" s="28">
        <f>RTD("rtdtrading.rtdserver",, "T&amp;T0", "QUL", 146)</f>
        <v>1</v>
      </c>
      <c r="D154" s="28" t="str">
        <f>RTD("rtdtrading.rtdserver",, "T&amp;T0", "AGR", 146)</f>
        <v>Comprador</v>
      </c>
      <c r="G154" s="36" t="str">
        <f>RTD("rtdtrading.rtdserver",, "T&amp;T1", "DAT", 146)</f>
        <v>19:06:36.781</v>
      </c>
      <c r="H154" s="37">
        <f>RTD("rtdtrading.rtdserver",, "T&amp;T1", "PRE", 146)</f>
        <v>7347.5</v>
      </c>
      <c r="I154" s="38">
        <f>RTD("rtdtrading.rtdserver",, "T&amp;T1", "QUL", 146)</f>
        <v>1</v>
      </c>
      <c r="J154" s="39" t="str">
        <f>RTD("rtdtrading.rtdserver",, "T&amp;T1", "AGR", 146)</f>
        <v>Vendedor</v>
      </c>
    </row>
    <row r="155" spans="1:10" x14ac:dyDescent="0.25">
      <c r="A155" s="44" t="str">
        <f>RTD("rtdtrading.rtdserver",, "T&amp;T0", "DAT", 147)</f>
        <v>19:06:15.605</v>
      </c>
      <c r="B155" s="27">
        <f>RTD("rtdtrading.rtdserver",, "T&amp;T0", "PRE", 147)</f>
        <v>7346.75</v>
      </c>
      <c r="C155" s="28">
        <f>RTD("rtdtrading.rtdserver",, "T&amp;T0", "QUL", 147)</f>
        <v>1</v>
      </c>
      <c r="D155" s="28" t="str">
        <f>RTD("rtdtrading.rtdserver",, "T&amp;T0", "AGR", 147)</f>
        <v>Comprador</v>
      </c>
      <c r="G155" s="36" t="str">
        <f>RTD("rtdtrading.rtdserver",, "T&amp;T1", "DAT", 147)</f>
        <v>19:06:36.781</v>
      </c>
      <c r="H155" s="37">
        <f>RTD("rtdtrading.rtdserver",, "T&amp;T1", "PRE", 147)</f>
        <v>7347.5</v>
      </c>
      <c r="I155" s="38">
        <f>RTD("rtdtrading.rtdserver",, "T&amp;T1", "QUL", 147)</f>
        <v>1</v>
      </c>
      <c r="J155" s="39" t="str">
        <f>RTD("rtdtrading.rtdserver",, "T&amp;T1", "AGR", 147)</f>
        <v>Vendedor</v>
      </c>
    </row>
    <row r="156" spans="1:10" x14ac:dyDescent="0.25">
      <c r="A156" s="44" t="str">
        <f>RTD("rtdtrading.rtdserver",, "T&amp;T0", "DAT", 148)</f>
        <v>19:06:15.605</v>
      </c>
      <c r="B156" s="27">
        <f>RTD("rtdtrading.rtdserver",, "T&amp;T0", "PRE", 148)</f>
        <v>7346.75</v>
      </c>
      <c r="C156" s="28">
        <f>RTD("rtdtrading.rtdserver",, "T&amp;T0", "QUL", 148)</f>
        <v>1</v>
      </c>
      <c r="D156" s="28" t="str">
        <f>RTD("rtdtrading.rtdserver",, "T&amp;T0", "AGR", 148)</f>
        <v>Comprador</v>
      </c>
      <c r="G156" s="36" t="str">
        <f>RTD("rtdtrading.rtdserver",, "T&amp;T1", "DAT", 148)</f>
        <v>19:06:36.781</v>
      </c>
      <c r="H156" s="37">
        <f>RTD("rtdtrading.rtdserver",, "T&amp;T1", "PRE", 148)</f>
        <v>7347.5</v>
      </c>
      <c r="I156" s="38">
        <f>RTD("rtdtrading.rtdserver",, "T&amp;T1", "QUL", 148)</f>
        <v>1</v>
      </c>
      <c r="J156" s="39" t="str">
        <f>RTD("rtdtrading.rtdserver",, "T&amp;T1", "AGR", 148)</f>
        <v>Vendedor</v>
      </c>
    </row>
    <row r="157" spans="1:10" x14ac:dyDescent="0.25">
      <c r="A157" s="44" t="str">
        <f>RTD("rtdtrading.rtdserver",, "T&amp;T0", "DAT", 149)</f>
        <v>19:06:15.429</v>
      </c>
      <c r="B157" s="27">
        <f>RTD("rtdtrading.rtdserver",, "T&amp;T0", "PRE", 149)</f>
        <v>7346.75</v>
      </c>
      <c r="C157" s="28">
        <f>RTD("rtdtrading.rtdserver",, "T&amp;T0", "QUL", 149)</f>
        <v>1</v>
      </c>
      <c r="D157" s="28" t="str">
        <f>RTD("rtdtrading.rtdserver",, "T&amp;T0", "AGR", 149)</f>
        <v>Comprador</v>
      </c>
      <c r="G157" s="36" t="str">
        <f>RTD("rtdtrading.rtdserver",, "T&amp;T1", "DAT", 149)</f>
        <v>19:06:36.781</v>
      </c>
      <c r="H157" s="37">
        <f>RTD("rtdtrading.rtdserver",, "T&amp;T1", "PRE", 149)</f>
        <v>7347.5</v>
      </c>
      <c r="I157" s="38">
        <f>RTD("rtdtrading.rtdserver",, "T&amp;T1", "QUL", 149)</f>
        <v>1</v>
      </c>
      <c r="J157" s="39" t="str">
        <f>RTD("rtdtrading.rtdserver",, "T&amp;T1", "AGR", 149)</f>
        <v>Vendedor</v>
      </c>
    </row>
    <row r="158" spans="1:10" x14ac:dyDescent="0.25">
      <c r="A158" s="44" t="str">
        <f>RTD("rtdtrading.rtdserver",, "T&amp;T0", "DAT", 150)</f>
        <v>19:06:15.116</v>
      </c>
      <c r="B158" s="27">
        <f>RTD("rtdtrading.rtdserver",, "T&amp;T0", "PRE", 150)</f>
        <v>7346.75</v>
      </c>
      <c r="C158" s="28">
        <f>RTD("rtdtrading.rtdserver",, "T&amp;T0", "QUL", 150)</f>
        <v>2</v>
      </c>
      <c r="D158" s="28" t="str">
        <f>RTD("rtdtrading.rtdserver",, "T&amp;T0", "AGR", 150)</f>
        <v>Comprador</v>
      </c>
      <c r="G158" s="36" t="str">
        <f>RTD("rtdtrading.rtdserver",, "T&amp;T1", "DAT", 150)</f>
        <v>19:06:36.781</v>
      </c>
      <c r="H158" s="37">
        <f>RTD("rtdtrading.rtdserver",, "T&amp;T1", "PRE", 150)</f>
        <v>7347.5</v>
      </c>
      <c r="I158" s="38">
        <f>RTD("rtdtrading.rtdserver",, "T&amp;T1", "QUL", 150)</f>
        <v>1</v>
      </c>
      <c r="J158" s="39" t="str">
        <f>RTD("rtdtrading.rtdserver",, "T&amp;T1", "AGR", 150)</f>
        <v>Vendedor</v>
      </c>
    </row>
    <row r="159" spans="1:10" x14ac:dyDescent="0.25">
      <c r="A159" s="44" t="str">
        <f>RTD("rtdtrading.rtdserver",, "T&amp;T0", "DAT", 151)</f>
        <v>19:06:14.991</v>
      </c>
      <c r="B159" s="27">
        <f>RTD("rtdtrading.rtdserver",, "T&amp;T0", "PRE", 151)</f>
        <v>7346.75</v>
      </c>
      <c r="C159" s="28">
        <f>RTD("rtdtrading.rtdserver",, "T&amp;T0", "QUL", 151)</f>
        <v>1</v>
      </c>
      <c r="D159" s="28" t="str">
        <f>RTD("rtdtrading.rtdserver",, "T&amp;T0", "AGR", 151)</f>
        <v>Comprador</v>
      </c>
      <c r="G159" s="36" t="str">
        <f>RTD("rtdtrading.rtdserver",, "T&amp;T1", "DAT", 151)</f>
        <v>19:06:36.779</v>
      </c>
      <c r="H159" s="37">
        <f>RTD("rtdtrading.rtdserver",, "T&amp;T1", "PRE", 151)</f>
        <v>7347</v>
      </c>
      <c r="I159" s="38">
        <f>RTD("rtdtrading.rtdserver",, "T&amp;T1", "QUL", 151)</f>
        <v>1</v>
      </c>
      <c r="J159" s="39" t="str">
        <f>RTD("rtdtrading.rtdserver",, "T&amp;T1", "AGR", 151)</f>
        <v>Vendedor</v>
      </c>
    </row>
    <row r="160" spans="1:10" x14ac:dyDescent="0.25">
      <c r="A160" s="44" t="str">
        <f>RTD("rtdtrading.rtdserver",, "T&amp;T0", "DAT", 152)</f>
        <v>19:06:14.991</v>
      </c>
      <c r="B160" s="27">
        <f>RTD("rtdtrading.rtdserver",, "T&amp;T0", "PRE", 152)</f>
        <v>7346.75</v>
      </c>
      <c r="C160" s="28">
        <f>RTD("rtdtrading.rtdserver",, "T&amp;T0", "QUL", 152)</f>
        <v>1</v>
      </c>
      <c r="D160" s="28" t="str">
        <f>RTD("rtdtrading.rtdserver",, "T&amp;T0", "AGR", 152)</f>
        <v>Comprador</v>
      </c>
      <c r="G160" s="36" t="str">
        <f>RTD("rtdtrading.rtdserver",, "T&amp;T1", "DAT", 152)</f>
        <v>19:06:36.779</v>
      </c>
      <c r="H160" s="37">
        <f>RTD("rtdtrading.rtdserver",, "T&amp;T1", "PRE", 152)</f>
        <v>7347</v>
      </c>
      <c r="I160" s="38">
        <f>RTD("rtdtrading.rtdserver",, "T&amp;T1", "QUL", 152)</f>
        <v>1</v>
      </c>
      <c r="J160" s="39" t="str">
        <f>RTD("rtdtrading.rtdserver",, "T&amp;T1", "AGR", 152)</f>
        <v>Vendedor</v>
      </c>
    </row>
    <row r="161" spans="1:10" x14ac:dyDescent="0.25">
      <c r="A161" s="44" t="str">
        <f>RTD("rtdtrading.rtdserver",, "T&amp;T0", "DAT", 153)</f>
        <v>19:06:14.019</v>
      </c>
      <c r="B161" s="27">
        <f>RTD("rtdtrading.rtdserver",, "T&amp;T0", "PRE", 153)</f>
        <v>7346.75</v>
      </c>
      <c r="C161" s="28">
        <f>RTD("rtdtrading.rtdserver",, "T&amp;T0", "QUL", 153)</f>
        <v>1</v>
      </c>
      <c r="D161" s="28" t="str">
        <f>RTD("rtdtrading.rtdserver",, "T&amp;T0", "AGR", 153)</f>
        <v>Comprador</v>
      </c>
      <c r="G161" s="36" t="str">
        <f>RTD("rtdtrading.rtdserver",, "T&amp;T1", "DAT", 153)</f>
        <v>19:06:36.778</v>
      </c>
      <c r="H161" s="37">
        <f>RTD("rtdtrading.rtdserver",, "T&amp;T1", "PRE", 153)</f>
        <v>7347</v>
      </c>
      <c r="I161" s="38">
        <f>RTD("rtdtrading.rtdserver",, "T&amp;T1", "QUL", 153)</f>
        <v>1</v>
      </c>
      <c r="J161" s="39" t="str">
        <f>RTD("rtdtrading.rtdserver",, "T&amp;T1", "AGR", 153)</f>
        <v>Vendedor</v>
      </c>
    </row>
    <row r="162" spans="1:10" x14ac:dyDescent="0.25">
      <c r="A162" s="44" t="str">
        <f>RTD("rtdtrading.rtdserver",, "T&amp;T0", "DAT", 154)</f>
        <v>19:06:13.842</v>
      </c>
      <c r="B162" s="27">
        <f>RTD("rtdtrading.rtdserver",, "T&amp;T0", "PRE", 154)</f>
        <v>7346.75</v>
      </c>
      <c r="C162" s="28">
        <f>RTD("rtdtrading.rtdserver",, "T&amp;T0", "QUL", 154)</f>
        <v>1</v>
      </c>
      <c r="D162" s="28" t="str">
        <f>RTD("rtdtrading.rtdserver",, "T&amp;T0", "AGR", 154)</f>
        <v>Comprador</v>
      </c>
      <c r="G162" s="36" t="str">
        <f>RTD("rtdtrading.rtdserver",, "T&amp;T1", "DAT", 154)</f>
        <v>19:06:36.778</v>
      </c>
      <c r="H162" s="37">
        <f>RTD("rtdtrading.rtdserver",, "T&amp;T1", "PRE", 154)</f>
        <v>7347</v>
      </c>
      <c r="I162" s="38">
        <f>RTD("rtdtrading.rtdserver",, "T&amp;T1", "QUL", 154)</f>
        <v>2</v>
      </c>
      <c r="J162" s="39" t="str">
        <f>RTD("rtdtrading.rtdserver",, "T&amp;T1", "AGR", 154)</f>
        <v>Vendedor</v>
      </c>
    </row>
    <row r="163" spans="1:10" x14ac:dyDescent="0.25">
      <c r="A163" s="44" t="str">
        <f>RTD("rtdtrading.rtdserver",, "T&amp;T0", "DAT", 155)</f>
        <v>19:06:13.804</v>
      </c>
      <c r="B163" s="27">
        <f>RTD("rtdtrading.rtdserver",, "T&amp;T0", "PRE", 155)</f>
        <v>7346.75</v>
      </c>
      <c r="C163" s="28">
        <f>RTD("rtdtrading.rtdserver",, "T&amp;T0", "QUL", 155)</f>
        <v>1</v>
      </c>
      <c r="D163" s="28" t="str">
        <f>RTD("rtdtrading.rtdserver",, "T&amp;T0", "AGR", 155)</f>
        <v>Comprador</v>
      </c>
      <c r="G163" s="36" t="str">
        <f>RTD("rtdtrading.rtdserver",, "T&amp;T1", "DAT", 155)</f>
        <v>19:06:36.778</v>
      </c>
      <c r="H163" s="37">
        <f>RTD("rtdtrading.rtdserver",, "T&amp;T1", "PRE", 155)</f>
        <v>7347</v>
      </c>
      <c r="I163" s="38">
        <f>RTD("rtdtrading.rtdserver",, "T&amp;T1", "QUL", 155)</f>
        <v>1</v>
      </c>
      <c r="J163" s="39" t="str">
        <f>RTD("rtdtrading.rtdserver",, "T&amp;T1", "AGR", 155)</f>
        <v>Vendedor</v>
      </c>
    </row>
    <row r="164" spans="1:10" x14ac:dyDescent="0.25">
      <c r="A164" s="44" t="str">
        <f>RTD("rtdtrading.rtdserver",, "T&amp;T0", "DAT", 156)</f>
        <v>19:06:13.803</v>
      </c>
      <c r="B164" s="27">
        <f>RTD("rtdtrading.rtdserver",, "T&amp;T0", "PRE", 156)</f>
        <v>7346.75</v>
      </c>
      <c r="C164" s="28">
        <f>RTD("rtdtrading.rtdserver",, "T&amp;T0", "QUL", 156)</f>
        <v>1</v>
      </c>
      <c r="D164" s="28" t="str">
        <f>RTD("rtdtrading.rtdserver",, "T&amp;T0", "AGR", 156)</f>
        <v>Comprador</v>
      </c>
      <c r="G164" s="36" t="str">
        <f>RTD("rtdtrading.rtdserver",, "T&amp;T1", "DAT", 156)</f>
        <v>19:06:36.778</v>
      </c>
      <c r="H164" s="37">
        <f>RTD("rtdtrading.rtdserver",, "T&amp;T1", "PRE", 156)</f>
        <v>7346.75</v>
      </c>
      <c r="I164" s="38">
        <f>RTD("rtdtrading.rtdserver",, "T&amp;T1", "QUL", 156)</f>
        <v>1</v>
      </c>
      <c r="J164" s="39" t="str">
        <f>RTD("rtdtrading.rtdserver",, "T&amp;T1", "AGR", 156)</f>
        <v>Vendedor</v>
      </c>
    </row>
    <row r="165" spans="1:10" x14ac:dyDescent="0.25">
      <c r="A165" s="44" t="str">
        <f>RTD("rtdtrading.rtdserver",, "T&amp;T0", "DAT", 157)</f>
        <v>19:06:13.803</v>
      </c>
      <c r="B165" s="27">
        <f>RTD("rtdtrading.rtdserver",, "T&amp;T0", "PRE", 157)</f>
        <v>7346.75</v>
      </c>
      <c r="C165" s="28">
        <f>RTD("rtdtrading.rtdserver",, "T&amp;T0", "QUL", 157)</f>
        <v>1</v>
      </c>
      <c r="D165" s="28" t="str">
        <f>RTD("rtdtrading.rtdserver",, "T&amp;T0", "AGR", 157)</f>
        <v>Comprador</v>
      </c>
      <c r="G165" s="36" t="str">
        <f>RTD("rtdtrading.rtdserver",, "T&amp;T1", "DAT", 157)</f>
        <v>19:06:36.143</v>
      </c>
      <c r="H165" s="37">
        <f>RTD("rtdtrading.rtdserver",, "T&amp;T1", "PRE", 157)</f>
        <v>7346</v>
      </c>
      <c r="I165" s="38">
        <f>RTD("rtdtrading.rtdserver",, "T&amp;T1", "QUL", 157)</f>
        <v>1</v>
      </c>
      <c r="J165" s="39" t="str">
        <f>RTD("rtdtrading.rtdserver",, "T&amp;T1", "AGR", 157)</f>
        <v>Vendedor</v>
      </c>
    </row>
    <row r="166" spans="1:10" x14ac:dyDescent="0.25">
      <c r="A166" s="44" t="str">
        <f>RTD("rtdtrading.rtdserver",, "T&amp;T0", "DAT", 158)</f>
        <v>19:06:13.801</v>
      </c>
      <c r="B166" s="27">
        <f>RTD("rtdtrading.rtdserver",, "T&amp;T0", "PRE", 158)</f>
        <v>7346.75</v>
      </c>
      <c r="C166" s="28">
        <f>RTD("rtdtrading.rtdserver",, "T&amp;T0", "QUL", 158)</f>
        <v>1</v>
      </c>
      <c r="D166" s="28" t="str">
        <f>RTD("rtdtrading.rtdserver",, "T&amp;T0", "AGR", 158)</f>
        <v>Comprador</v>
      </c>
      <c r="G166" s="36" t="str">
        <f>RTD("rtdtrading.rtdserver",, "T&amp;T1", "DAT", 158)</f>
        <v>19:06:34.609</v>
      </c>
      <c r="H166" s="37">
        <f>RTD("rtdtrading.rtdserver",, "T&amp;T1", "PRE", 158)</f>
        <v>7346</v>
      </c>
      <c r="I166" s="38">
        <f>RTD("rtdtrading.rtdserver",, "T&amp;T1", "QUL", 158)</f>
        <v>1</v>
      </c>
      <c r="J166" s="39" t="str">
        <f>RTD("rtdtrading.rtdserver",, "T&amp;T1", "AGR", 158)</f>
        <v>Vendedor</v>
      </c>
    </row>
    <row r="167" spans="1:10" x14ac:dyDescent="0.25">
      <c r="A167" s="44" t="str">
        <f>RTD("rtdtrading.rtdserver",, "T&amp;T0", "DAT", 159)</f>
        <v>19:06:13.592</v>
      </c>
      <c r="B167" s="27">
        <f>RTD("rtdtrading.rtdserver",, "T&amp;T0", "PRE", 159)</f>
        <v>7346.75</v>
      </c>
      <c r="C167" s="28">
        <f>RTD("rtdtrading.rtdserver",, "T&amp;T0", "QUL", 159)</f>
        <v>1</v>
      </c>
      <c r="D167" s="28" t="str">
        <f>RTD("rtdtrading.rtdserver",, "T&amp;T0", "AGR", 159)</f>
        <v>Comprador</v>
      </c>
      <c r="G167" s="36" t="str">
        <f>RTD("rtdtrading.rtdserver",, "T&amp;T1", "DAT", 159)</f>
        <v>19:06:33.326</v>
      </c>
      <c r="H167" s="37">
        <f>RTD("rtdtrading.rtdserver",, "T&amp;T1", "PRE", 159)</f>
        <v>7346.25</v>
      </c>
      <c r="I167" s="38">
        <f>RTD("rtdtrading.rtdserver",, "T&amp;T1", "QUL", 159)</f>
        <v>2</v>
      </c>
      <c r="J167" s="39" t="str">
        <f>RTD("rtdtrading.rtdserver",, "T&amp;T1", "AGR", 159)</f>
        <v>Vendedor</v>
      </c>
    </row>
    <row r="168" spans="1:10" x14ac:dyDescent="0.25">
      <c r="A168" s="44" t="str">
        <f>RTD("rtdtrading.rtdserver",, "T&amp;T0", "DAT", 160)</f>
        <v>19:06:12.298</v>
      </c>
      <c r="B168" s="27">
        <f>RTD("rtdtrading.rtdserver",, "T&amp;T0", "PRE", 160)</f>
        <v>7346.75</v>
      </c>
      <c r="C168" s="28">
        <f>RTD("rtdtrading.rtdserver",, "T&amp;T0", "QUL", 160)</f>
        <v>5</v>
      </c>
      <c r="D168" s="28" t="str">
        <f>RTD("rtdtrading.rtdserver",, "T&amp;T0", "AGR", 160)</f>
        <v>Comprador</v>
      </c>
      <c r="G168" s="36" t="str">
        <f>RTD("rtdtrading.rtdserver",, "T&amp;T1", "DAT", 160)</f>
        <v>19:06:32.973</v>
      </c>
      <c r="H168" s="37">
        <f>RTD("rtdtrading.rtdserver",, "T&amp;T1", "PRE", 160)</f>
        <v>7346</v>
      </c>
      <c r="I168" s="38">
        <f>RTD("rtdtrading.rtdserver",, "T&amp;T1", "QUL", 160)</f>
        <v>1</v>
      </c>
      <c r="J168" s="39" t="str">
        <f>RTD("rtdtrading.rtdserver",, "T&amp;T1", "AGR", 160)</f>
        <v>Vendedor</v>
      </c>
    </row>
    <row r="169" spans="1:10" x14ac:dyDescent="0.25">
      <c r="A169" s="44" t="str">
        <f>RTD("rtdtrading.rtdserver",, "T&amp;T0", "DAT", 161)</f>
        <v>19:06:10.981</v>
      </c>
      <c r="B169" s="27">
        <f>RTD("rtdtrading.rtdserver",, "T&amp;T0", "PRE", 161)</f>
        <v>7346.75</v>
      </c>
      <c r="C169" s="28">
        <f>RTD("rtdtrading.rtdserver",, "T&amp;T0", "QUL", 161)</f>
        <v>1</v>
      </c>
      <c r="D169" s="28" t="str">
        <f>RTD("rtdtrading.rtdserver",, "T&amp;T0", "AGR", 161)</f>
        <v>Comprador</v>
      </c>
      <c r="G169" s="36" t="str">
        <f>RTD("rtdtrading.rtdserver",, "T&amp;T1", "DAT", 161)</f>
        <v>19:06:32.711</v>
      </c>
      <c r="H169" s="37">
        <f>RTD("rtdtrading.rtdserver",, "T&amp;T1", "PRE", 161)</f>
        <v>7346.25</v>
      </c>
      <c r="I169" s="38">
        <f>RTD("rtdtrading.rtdserver",, "T&amp;T1", "QUL", 161)</f>
        <v>1</v>
      </c>
      <c r="J169" s="39" t="str">
        <f>RTD("rtdtrading.rtdserver",, "T&amp;T1", "AGR", 161)</f>
        <v>Vendedor</v>
      </c>
    </row>
    <row r="170" spans="1:10" x14ac:dyDescent="0.25">
      <c r="A170" s="44" t="str">
        <f>RTD("rtdtrading.rtdserver",, "T&amp;T0", "DAT", 162)</f>
        <v>19:06:10.971</v>
      </c>
      <c r="B170" s="27">
        <f>RTD("rtdtrading.rtdserver",, "T&amp;T0", "PRE", 162)</f>
        <v>7346.75</v>
      </c>
      <c r="C170" s="28">
        <f>RTD("rtdtrading.rtdserver",, "T&amp;T0", "QUL", 162)</f>
        <v>1</v>
      </c>
      <c r="D170" s="28" t="str">
        <f>RTD("rtdtrading.rtdserver",, "T&amp;T0", "AGR", 162)</f>
        <v>Comprador</v>
      </c>
      <c r="G170" s="36" t="str">
        <f>RTD("rtdtrading.rtdserver",, "T&amp;T1", "DAT", 162)</f>
        <v>19:06:32.711</v>
      </c>
      <c r="H170" s="37">
        <f>RTD("rtdtrading.rtdserver",, "T&amp;T1", "PRE", 162)</f>
        <v>7346.25</v>
      </c>
      <c r="I170" s="38">
        <f>RTD("rtdtrading.rtdserver",, "T&amp;T1", "QUL", 162)</f>
        <v>1</v>
      </c>
      <c r="J170" s="39" t="str">
        <f>RTD("rtdtrading.rtdserver",, "T&amp;T1", "AGR", 162)</f>
        <v>Vendedor</v>
      </c>
    </row>
    <row r="171" spans="1:10" x14ac:dyDescent="0.25">
      <c r="A171" s="44" t="str">
        <f>RTD("rtdtrading.rtdserver",, "T&amp;T0", "DAT", 163)</f>
        <v>19:06:10.971</v>
      </c>
      <c r="B171" s="27">
        <f>RTD("rtdtrading.rtdserver",, "T&amp;T0", "PRE", 163)</f>
        <v>7346.75</v>
      </c>
      <c r="C171" s="28">
        <f>RTD("rtdtrading.rtdserver",, "T&amp;T0", "QUL", 163)</f>
        <v>1</v>
      </c>
      <c r="D171" s="28" t="str">
        <f>RTD("rtdtrading.rtdserver",, "T&amp;T0", "AGR", 163)</f>
        <v>Comprador</v>
      </c>
      <c r="G171" s="36" t="str">
        <f>RTD("rtdtrading.rtdserver",, "T&amp;T1", "DAT", 163)</f>
        <v>19:06:32.711</v>
      </c>
      <c r="H171" s="37">
        <f>RTD("rtdtrading.rtdserver",, "T&amp;T1", "PRE", 163)</f>
        <v>7346.25</v>
      </c>
      <c r="I171" s="38">
        <f>RTD("rtdtrading.rtdserver",, "T&amp;T1", "QUL", 163)</f>
        <v>1</v>
      </c>
      <c r="J171" s="39" t="str">
        <f>RTD("rtdtrading.rtdserver",, "T&amp;T1", "AGR", 163)</f>
        <v>Vendedor</v>
      </c>
    </row>
    <row r="172" spans="1:10" x14ac:dyDescent="0.25">
      <c r="A172" s="44" t="str">
        <f>RTD("rtdtrading.rtdserver",, "T&amp;T0", "DAT", 164)</f>
        <v>19:06:10.971</v>
      </c>
      <c r="B172" s="27">
        <f>RTD("rtdtrading.rtdserver",, "T&amp;T0", "PRE", 164)</f>
        <v>7346.75</v>
      </c>
      <c r="C172" s="28">
        <f>RTD("rtdtrading.rtdserver",, "T&amp;T0", "QUL", 164)</f>
        <v>1</v>
      </c>
      <c r="D172" s="28" t="str">
        <f>RTD("rtdtrading.rtdserver",, "T&amp;T0", "AGR", 164)</f>
        <v>Comprador</v>
      </c>
      <c r="G172" s="36" t="str">
        <f>RTD("rtdtrading.rtdserver",, "T&amp;T1", "DAT", 164)</f>
        <v>19:06:32.711</v>
      </c>
      <c r="H172" s="37">
        <f>RTD("rtdtrading.rtdserver",, "T&amp;T1", "PRE", 164)</f>
        <v>7346.25</v>
      </c>
      <c r="I172" s="38">
        <f>RTD("rtdtrading.rtdserver",, "T&amp;T1", "QUL", 164)</f>
        <v>1</v>
      </c>
      <c r="J172" s="39" t="str">
        <f>RTD("rtdtrading.rtdserver",, "T&amp;T1", "AGR", 164)</f>
        <v>Vendedor</v>
      </c>
    </row>
    <row r="173" spans="1:10" x14ac:dyDescent="0.25">
      <c r="A173" s="44" t="str">
        <f>RTD("rtdtrading.rtdserver",, "T&amp;T0", "DAT", 165)</f>
        <v>19:06:10.970</v>
      </c>
      <c r="B173" s="27">
        <f>RTD("rtdtrading.rtdserver",, "T&amp;T0", "PRE", 165)</f>
        <v>7346.75</v>
      </c>
      <c r="C173" s="28">
        <f>RTD("rtdtrading.rtdserver",, "T&amp;T0", "QUL", 165)</f>
        <v>1</v>
      </c>
      <c r="D173" s="28" t="str">
        <f>RTD("rtdtrading.rtdserver",, "T&amp;T0", "AGR", 165)</f>
        <v>Comprador</v>
      </c>
      <c r="G173" s="36" t="str">
        <f>RTD("rtdtrading.rtdserver",, "T&amp;T1", "DAT", 165)</f>
        <v>19:06:32.564</v>
      </c>
      <c r="H173" s="37">
        <f>RTD("rtdtrading.rtdserver",, "T&amp;T1", "PRE", 165)</f>
        <v>7346</v>
      </c>
      <c r="I173" s="38">
        <f>RTD("rtdtrading.rtdserver",, "T&amp;T1", "QUL", 165)</f>
        <v>1</v>
      </c>
      <c r="J173" s="39" t="str">
        <f>RTD("rtdtrading.rtdserver",, "T&amp;T1", "AGR", 165)</f>
        <v>Vendedor</v>
      </c>
    </row>
    <row r="174" spans="1:10" x14ac:dyDescent="0.25">
      <c r="A174" s="44" t="str">
        <f>RTD("rtdtrading.rtdserver",, "T&amp;T0", "DAT", 166)</f>
        <v>19:06:10.946</v>
      </c>
      <c r="B174" s="27">
        <f>RTD("rtdtrading.rtdserver",, "T&amp;T0", "PRE", 166)</f>
        <v>7346.75</v>
      </c>
      <c r="C174" s="28">
        <f>RTD("rtdtrading.rtdserver",, "T&amp;T0", "QUL", 166)</f>
        <v>1</v>
      </c>
      <c r="D174" s="28" t="str">
        <f>RTD("rtdtrading.rtdserver",, "T&amp;T0", "AGR", 166)</f>
        <v>Comprador</v>
      </c>
      <c r="G174" s="36" t="str">
        <f>RTD("rtdtrading.rtdserver",, "T&amp;T1", "DAT", 166)</f>
        <v>19:06:30.708</v>
      </c>
      <c r="H174" s="37">
        <f>RTD("rtdtrading.rtdserver",, "T&amp;T1", "PRE", 166)</f>
        <v>7346</v>
      </c>
      <c r="I174" s="38">
        <f>RTD("rtdtrading.rtdserver",, "T&amp;T1", "QUL", 166)</f>
        <v>8</v>
      </c>
      <c r="J174" s="39" t="str">
        <f>RTD("rtdtrading.rtdserver",, "T&amp;T1", "AGR", 166)</f>
        <v>Vendedor</v>
      </c>
    </row>
    <row r="175" spans="1:10" x14ac:dyDescent="0.25">
      <c r="A175" s="44" t="str">
        <f>RTD("rtdtrading.rtdserver",, "T&amp;T0", "DAT", 167)</f>
        <v>19:06:10.944</v>
      </c>
      <c r="B175" s="27">
        <f>RTD("rtdtrading.rtdserver",, "T&amp;T0", "PRE", 167)</f>
        <v>7346.75</v>
      </c>
      <c r="C175" s="28">
        <f>RTD("rtdtrading.rtdserver",, "T&amp;T0", "QUL", 167)</f>
        <v>1</v>
      </c>
      <c r="D175" s="28" t="str">
        <f>RTD("rtdtrading.rtdserver",, "T&amp;T0", "AGR", 167)</f>
        <v>Comprador</v>
      </c>
      <c r="G175" s="36" t="str">
        <f>RTD("rtdtrading.rtdserver",, "T&amp;T1", "DAT", 167)</f>
        <v>19:06:30.708</v>
      </c>
      <c r="H175" s="37">
        <f>RTD("rtdtrading.rtdserver",, "T&amp;T1", "PRE", 167)</f>
        <v>7346.25</v>
      </c>
      <c r="I175" s="38">
        <f>RTD("rtdtrading.rtdserver",, "T&amp;T1", "QUL", 167)</f>
        <v>9</v>
      </c>
      <c r="J175" s="39" t="str">
        <f>RTD("rtdtrading.rtdserver",, "T&amp;T1", "AGR", 167)</f>
        <v>Vendedor</v>
      </c>
    </row>
    <row r="176" spans="1:10" x14ac:dyDescent="0.25">
      <c r="A176" s="44" t="str">
        <f>RTD("rtdtrading.rtdserver",, "T&amp;T0", "DAT", 168)</f>
        <v>19:06:10.944</v>
      </c>
      <c r="B176" s="27">
        <f>RTD("rtdtrading.rtdserver",, "T&amp;T0", "PRE", 168)</f>
        <v>7346.75</v>
      </c>
      <c r="C176" s="28">
        <f>RTD("rtdtrading.rtdserver",, "T&amp;T0", "QUL", 168)</f>
        <v>1</v>
      </c>
      <c r="D176" s="28" t="str">
        <f>RTD("rtdtrading.rtdserver",, "T&amp;T0", "AGR", 168)</f>
        <v>Comprador</v>
      </c>
      <c r="G176" s="36" t="str">
        <f>RTD("rtdtrading.rtdserver",, "T&amp;T1", "DAT", 168)</f>
        <v>19:06:30.708</v>
      </c>
      <c r="H176" s="37">
        <f>RTD("rtdtrading.rtdserver",, "T&amp;T1", "PRE", 168)</f>
        <v>7346.5</v>
      </c>
      <c r="I176" s="38">
        <f>RTD("rtdtrading.rtdserver",, "T&amp;T1", "QUL", 168)</f>
        <v>10</v>
      </c>
      <c r="J176" s="39" t="str">
        <f>RTD("rtdtrading.rtdserver",, "T&amp;T1", "AGR", 168)</f>
        <v>Vendedor</v>
      </c>
    </row>
    <row r="177" spans="1:10" x14ac:dyDescent="0.25">
      <c r="A177" s="44" t="str">
        <f>RTD("rtdtrading.rtdserver",, "T&amp;T0", "DAT", 169)</f>
        <v>19:06:10.943</v>
      </c>
      <c r="B177" s="27">
        <f>RTD("rtdtrading.rtdserver",, "T&amp;T0", "PRE", 169)</f>
        <v>7346.75</v>
      </c>
      <c r="C177" s="28">
        <f>RTD("rtdtrading.rtdserver",, "T&amp;T0", "QUL", 169)</f>
        <v>1</v>
      </c>
      <c r="D177" s="28" t="str">
        <f>RTD("rtdtrading.rtdserver",, "T&amp;T0", "AGR", 169)</f>
        <v>Comprador</v>
      </c>
      <c r="G177" s="36" t="str">
        <f>RTD("rtdtrading.rtdserver",, "T&amp;T1", "DAT", 169)</f>
        <v>19:06:27.779</v>
      </c>
      <c r="H177" s="37">
        <f>RTD("rtdtrading.rtdserver",, "T&amp;T1", "PRE", 169)</f>
        <v>7346.5</v>
      </c>
      <c r="I177" s="38">
        <f>RTD("rtdtrading.rtdserver",, "T&amp;T1", "QUL", 169)</f>
        <v>1</v>
      </c>
      <c r="J177" s="39" t="str">
        <f>RTD("rtdtrading.rtdserver",, "T&amp;T1", "AGR", 169)</f>
        <v>Vendedor</v>
      </c>
    </row>
    <row r="178" spans="1:10" x14ac:dyDescent="0.25">
      <c r="A178" s="44" t="str">
        <f>RTD("rtdtrading.rtdserver",, "T&amp;T0", "DAT", 170)</f>
        <v>19:06:10.943</v>
      </c>
      <c r="B178" s="27">
        <f>RTD("rtdtrading.rtdserver",, "T&amp;T0", "PRE", 170)</f>
        <v>7346.75</v>
      </c>
      <c r="C178" s="28">
        <f>RTD("rtdtrading.rtdserver",, "T&amp;T0", "QUL", 170)</f>
        <v>1</v>
      </c>
      <c r="D178" s="28" t="str">
        <f>RTD("rtdtrading.rtdserver",, "T&amp;T0", "AGR", 170)</f>
        <v>Comprador</v>
      </c>
      <c r="G178" s="36" t="str">
        <f>RTD("rtdtrading.rtdserver",, "T&amp;T1", "DAT", 170)</f>
        <v>19:06:22.849</v>
      </c>
      <c r="H178" s="37">
        <f>RTD("rtdtrading.rtdserver",, "T&amp;T1", "PRE", 170)</f>
        <v>7346.5</v>
      </c>
      <c r="I178" s="38">
        <f>RTD("rtdtrading.rtdserver",, "T&amp;T1", "QUL", 170)</f>
        <v>1</v>
      </c>
      <c r="J178" s="39" t="str">
        <f>RTD("rtdtrading.rtdserver",, "T&amp;T1", "AGR", 170)</f>
        <v>Vendedor</v>
      </c>
    </row>
    <row r="179" spans="1:10" x14ac:dyDescent="0.25">
      <c r="A179" s="44" t="str">
        <f>RTD("rtdtrading.rtdserver",, "T&amp;T0", "DAT", 171)</f>
        <v>19:06:10.943</v>
      </c>
      <c r="B179" s="27">
        <f>RTD("rtdtrading.rtdserver",, "T&amp;T0", "PRE", 171)</f>
        <v>7346.75</v>
      </c>
      <c r="C179" s="28">
        <f>RTD("rtdtrading.rtdserver",, "T&amp;T0", "QUL", 171)</f>
        <v>2</v>
      </c>
      <c r="D179" s="28" t="str">
        <f>RTD("rtdtrading.rtdserver",, "T&amp;T0", "AGR", 171)</f>
        <v>Comprador</v>
      </c>
      <c r="G179" s="36" t="str">
        <f>RTD("rtdtrading.rtdserver",, "T&amp;T1", "DAT", 171)</f>
        <v>19:06:22.628</v>
      </c>
      <c r="H179" s="37">
        <f>RTD("rtdtrading.rtdserver",, "T&amp;T1", "PRE", 171)</f>
        <v>7346.5</v>
      </c>
      <c r="I179" s="38">
        <f>RTD("rtdtrading.rtdserver",, "T&amp;T1", "QUL", 171)</f>
        <v>5</v>
      </c>
      <c r="J179" s="39" t="str">
        <f>RTD("rtdtrading.rtdserver",, "T&amp;T1", "AGR", 171)</f>
        <v>Vendedor</v>
      </c>
    </row>
    <row r="180" spans="1:10" x14ac:dyDescent="0.25">
      <c r="A180" s="44" t="str">
        <f>RTD("rtdtrading.rtdserver",, "T&amp;T0", "DAT", 172)</f>
        <v>19:06:10.943</v>
      </c>
      <c r="B180" s="27">
        <f>RTD("rtdtrading.rtdserver",, "T&amp;T0", "PRE", 172)</f>
        <v>7346.75</v>
      </c>
      <c r="C180" s="28">
        <f>RTD("rtdtrading.rtdserver",, "T&amp;T0", "QUL", 172)</f>
        <v>1</v>
      </c>
      <c r="D180" s="28" t="str">
        <f>RTD("rtdtrading.rtdserver",, "T&amp;T0", "AGR", 172)</f>
        <v>Comprador</v>
      </c>
      <c r="G180" s="36" t="str">
        <f>RTD("rtdtrading.rtdserver",, "T&amp;T1", "DAT", 172)</f>
        <v>19:06:22.008</v>
      </c>
      <c r="H180" s="37">
        <f>RTD("rtdtrading.rtdserver",, "T&amp;T1", "PRE", 172)</f>
        <v>7346.5</v>
      </c>
      <c r="I180" s="38">
        <f>RTD("rtdtrading.rtdserver",, "T&amp;T1", "QUL", 172)</f>
        <v>5</v>
      </c>
      <c r="J180" s="39" t="str">
        <f>RTD("rtdtrading.rtdserver",, "T&amp;T1", "AGR", 172)</f>
        <v>Vendedor</v>
      </c>
    </row>
    <row r="181" spans="1:10" x14ac:dyDescent="0.25">
      <c r="A181" s="44" t="str">
        <f>RTD("rtdtrading.rtdserver",, "T&amp;T0", "DAT", 173)</f>
        <v>19:06:10.943</v>
      </c>
      <c r="B181" s="27">
        <f>RTD("rtdtrading.rtdserver",, "T&amp;T0", "PRE", 173)</f>
        <v>7346.75</v>
      </c>
      <c r="C181" s="28">
        <f>RTD("rtdtrading.rtdserver",, "T&amp;T0", "QUL", 173)</f>
        <v>1</v>
      </c>
      <c r="D181" s="28" t="str">
        <f>RTD("rtdtrading.rtdserver",, "T&amp;T0", "AGR", 173)</f>
        <v>Comprador</v>
      </c>
      <c r="G181" s="36" t="str">
        <f>RTD("rtdtrading.rtdserver",, "T&amp;T1", "DAT", 173)</f>
        <v>19:06:18.616</v>
      </c>
      <c r="H181" s="37">
        <f>RTD("rtdtrading.rtdserver",, "T&amp;T1", "PRE", 173)</f>
        <v>7346.5</v>
      </c>
      <c r="I181" s="38">
        <f>RTD("rtdtrading.rtdserver",, "T&amp;T1", "QUL", 173)</f>
        <v>3</v>
      </c>
      <c r="J181" s="39" t="str">
        <f>RTD("rtdtrading.rtdserver",, "T&amp;T1", "AGR", 173)</f>
        <v>Vendedor</v>
      </c>
    </row>
    <row r="182" spans="1:10" x14ac:dyDescent="0.25">
      <c r="A182" s="44" t="str">
        <f>RTD("rtdtrading.rtdserver",, "T&amp;T0", "DAT", 174)</f>
        <v>19:06:10.943</v>
      </c>
      <c r="B182" s="27">
        <f>RTD("rtdtrading.rtdserver",, "T&amp;T0", "PRE", 174)</f>
        <v>7346.75</v>
      </c>
      <c r="C182" s="28">
        <f>RTD("rtdtrading.rtdserver",, "T&amp;T0", "QUL", 174)</f>
        <v>4</v>
      </c>
      <c r="D182" s="28" t="str">
        <f>RTD("rtdtrading.rtdserver",, "T&amp;T0", "AGR", 174)</f>
        <v>Comprador</v>
      </c>
      <c r="G182" s="36" t="str">
        <f>RTD("rtdtrading.rtdserver",, "T&amp;T1", "DAT", 174)</f>
        <v>19:06:17.852</v>
      </c>
      <c r="H182" s="37">
        <f>RTD("rtdtrading.rtdserver",, "T&amp;T1", "PRE", 174)</f>
        <v>7346.5</v>
      </c>
      <c r="I182" s="38">
        <f>RTD("rtdtrading.rtdserver",, "T&amp;T1", "QUL", 174)</f>
        <v>1</v>
      </c>
      <c r="J182" s="39" t="str">
        <f>RTD("rtdtrading.rtdserver",, "T&amp;T1", "AGR", 174)</f>
        <v>Vendedor</v>
      </c>
    </row>
    <row r="183" spans="1:10" x14ac:dyDescent="0.25">
      <c r="A183" s="44" t="str">
        <f>RTD("rtdtrading.rtdserver",, "T&amp;T0", "DAT", 175)</f>
        <v>19:06:10.943</v>
      </c>
      <c r="B183" s="27">
        <f>RTD("rtdtrading.rtdserver",, "T&amp;T0", "PRE", 175)</f>
        <v>7346.75</v>
      </c>
      <c r="C183" s="28">
        <f>RTD("rtdtrading.rtdserver",, "T&amp;T0", "QUL", 175)</f>
        <v>1</v>
      </c>
      <c r="D183" s="28" t="str">
        <f>RTD("rtdtrading.rtdserver",, "T&amp;T0", "AGR", 175)</f>
        <v>Comprador</v>
      </c>
      <c r="G183" s="36" t="str">
        <f>RTD("rtdtrading.rtdserver",, "T&amp;T1", "DAT", 175)</f>
        <v>19:06:17.770</v>
      </c>
      <c r="H183" s="37">
        <f>RTD("rtdtrading.rtdserver",, "T&amp;T1", "PRE", 175)</f>
        <v>7346.5</v>
      </c>
      <c r="I183" s="38">
        <f>RTD("rtdtrading.rtdserver",, "T&amp;T1", "QUL", 175)</f>
        <v>1</v>
      </c>
      <c r="J183" s="39" t="str">
        <f>RTD("rtdtrading.rtdserver",, "T&amp;T1", "AGR", 175)</f>
        <v>Vendedor</v>
      </c>
    </row>
    <row r="184" spans="1:10" x14ac:dyDescent="0.25">
      <c r="A184" s="44" t="str">
        <f>RTD("rtdtrading.rtdserver",, "T&amp;T0", "DAT", 176)</f>
        <v>19:06:10.942</v>
      </c>
      <c r="B184" s="27">
        <f>RTD("rtdtrading.rtdserver",, "T&amp;T0", "PRE", 176)</f>
        <v>7346.75</v>
      </c>
      <c r="C184" s="28">
        <f>RTD("rtdtrading.rtdserver",, "T&amp;T0", "QUL", 176)</f>
        <v>1</v>
      </c>
      <c r="D184" s="28" t="str">
        <f>RTD("rtdtrading.rtdserver",, "T&amp;T0", "AGR", 176)</f>
        <v>Comprador</v>
      </c>
      <c r="G184" s="36" t="str">
        <f>RTD("rtdtrading.rtdserver",, "T&amp;T1", "DAT", 176)</f>
        <v>19:06:16.804</v>
      </c>
      <c r="H184" s="37">
        <f>RTD("rtdtrading.rtdserver",, "T&amp;T1", "PRE", 176)</f>
        <v>7346.5</v>
      </c>
      <c r="I184" s="38">
        <f>RTD("rtdtrading.rtdserver",, "T&amp;T1", "QUL", 176)</f>
        <v>11</v>
      </c>
      <c r="J184" s="39" t="str">
        <f>RTD("rtdtrading.rtdserver",, "T&amp;T1", "AGR", 176)</f>
        <v>Vendedor</v>
      </c>
    </row>
    <row r="185" spans="1:10" x14ac:dyDescent="0.25">
      <c r="A185" s="44" t="str">
        <f>RTD("rtdtrading.rtdserver",, "T&amp;T0", "DAT", 177)</f>
        <v>19:06:10.942</v>
      </c>
      <c r="B185" s="27">
        <f>RTD("rtdtrading.rtdserver",, "T&amp;T0", "PRE", 177)</f>
        <v>7346.75</v>
      </c>
      <c r="C185" s="28">
        <f>RTD("rtdtrading.rtdserver",, "T&amp;T0", "QUL", 177)</f>
        <v>1</v>
      </c>
      <c r="D185" s="28" t="str">
        <f>RTD("rtdtrading.rtdserver",, "T&amp;T0", "AGR", 177)</f>
        <v>Comprador</v>
      </c>
      <c r="G185" s="36" t="str">
        <f>RTD("rtdtrading.rtdserver",, "T&amp;T1", "DAT", 177)</f>
        <v>19:06:14.075</v>
      </c>
      <c r="H185" s="37">
        <f>RTD("rtdtrading.rtdserver",, "T&amp;T1", "PRE", 177)</f>
        <v>7346.5</v>
      </c>
      <c r="I185" s="38">
        <f>RTD("rtdtrading.rtdserver",, "T&amp;T1", "QUL", 177)</f>
        <v>1</v>
      </c>
      <c r="J185" s="39" t="str">
        <f>RTD("rtdtrading.rtdserver",, "T&amp;T1", "AGR", 177)</f>
        <v>Vendedor</v>
      </c>
    </row>
    <row r="186" spans="1:10" x14ac:dyDescent="0.25">
      <c r="A186" s="44" t="str">
        <f>RTD("rtdtrading.rtdserver",, "T&amp;T0", "DAT", 178)</f>
        <v>19:06:10.942</v>
      </c>
      <c r="B186" s="27">
        <f>RTD("rtdtrading.rtdserver",, "T&amp;T0", "PRE", 178)</f>
        <v>7346.75</v>
      </c>
      <c r="C186" s="28">
        <f>RTD("rtdtrading.rtdserver",, "T&amp;T0", "QUL", 178)</f>
        <v>1</v>
      </c>
      <c r="D186" s="28" t="str">
        <f>RTD("rtdtrading.rtdserver",, "T&amp;T0", "AGR", 178)</f>
        <v>Comprador</v>
      </c>
      <c r="G186" s="36" t="str">
        <f>RTD("rtdtrading.rtdserver",, "T&amp;T1", "DAT", 178)</f>
        <v>19:06:13.350</v>
      </c>
      <c r="H186" s="37">
        <f>RTD("rtdtrading.rtdserver",, "T&amp;T1", "PRE", 178)</f>
        <v>7346.5</v>
      </c>
      <c r="I186" s="38">
        <f>RTD("rtdtrading.rtdserver",, "T&amp;T1", "QUL", 178)</f>
        <v>1</v>
      </c>
      <c r="J186" s="39" t="str">
        <f>RTD("rtdtrading.rtdserver",, "T&amp;T1", "AGR", 178)</f>
        <v>Vendedor</v>
      </c>
    </row>
    <row r="187" spans="1:10" x14ac:dyDescent="0.25">
      <c r="A187" s="44" t="str">
        <f>RTD("rtdtrading.rtdserver",, "T&amp;T0", "DAT", 179)</f>
        <v>19:06:10.942</v>
      </c>
      <c r="B187" s="27">
        <f>RTD("rtdtrading.rtdserver",, "T&amp;T0", "PRE", 179)</f>
        <v>7346.75</v>
      </c>
      <c r="C187" s="28">
        <f>RTD("rtdtrading.rtdserver",, "T&amp;T0", "QUL", 179)</f>
        <v>1</v>
      </c>
      <c r="D187" s="28" t="str">
        <f>RTD("rtdtrading.rtdserver",, "T&amp;T0", "AGR", 179)</f>
        <v>Comprador</v>
      </c>
      <c r="G187" s="36" t="str">
        <f>RTD("rtdtrading.rtdserver",, "T&amp;T1", "DAT", 179)</f>
        <v>19:06:10.181</v>
      </c>
      <c r="H187" s="37">
        <f>RTD("rtdtrading.rtdserver",, "T&amp;T1", "PRE", 179)</f>
        <v>7346.5</v>
      </c>
      <c r="I187" s="38">
        <f>RTD("rtdtrading.rtdserver",, "T&amp;T1", "QUL", 179)</f>
        <v>1</v>
      </c>
      <c r="J187" s="39" t="str">
        <f>RTD("rtdtrading.rtdserver",, "T&amp;T1", "AGR", 179)</f>
        <v>Vendedor</v>
      </c>
    </row>
    <row r="188" spans="1:10" x14ac:dyDescent="0.25">
      <c r="A188" s="44" t="str">
        <f>RTD("rtdtrading.rtdserver",, "T&amp;T0", "DAT", 180)</f>
        <v>19:06:10.942</v>
      </c>
      <c r="B188" s="27">
        <f>RTD("rtdtrading.rtdserver",, "T&amp;T0", "PRE", 180)</f>
        <v>7346.75</v>
      </c>
      <c r="C188" s="28">
        <f>RTD("rtdtrading.rtdserver",, "T&amp;T0", "QUL", 180)</f>
        <v>2</v>
      </c>
      <c r="D188" s="28" t="str">
        <f>RTD("rtdtrading.rtdserver",, "T&amp;T0", "AGR", 180)</f>
        <v>Comprador</v>
      </c>
      <c r="G188" s="36" t="str">
        <f>RTD("rtdtrading.rtdserver",, "T&amp;T1", "DAT", 180)</f>
        <v>19:06:10.015</v>
      </c>
      <c r="H188" s="37">
        <f>RTD("rtdtrading.rtdserver",, "T&amp;T1", "PRE", 180)</f>
        <v>7346.5</v>
      </c>
      <c r="I188" s="38">
        <f>RTD("rtdtrading.rtdserver",, "T&amp;T1", "QUL", 180)</f>
        <v>1</v>
      </c>
      <c r="J188" s="39" t="str">
        <f>RTD("rtdtrading.rtdserver",, "T&amp;T1", "AGR", 180)</f>
        <v>Vendedor</v>
      </c>
    </row>
    <row r="189" spans="1:10" x14ac:dyDescent="0.25">
      <c r="A189" s="44" t="str">
        <f>RTD("rtdtrading.rtdserver",, "T&amp;T0", "DAT", 181)</f>
        <v>19:06:10.718</v>
      </c>
      <c r="B189" s="27">
        <f>RTD("rtdtrading.rtdserver",, "T&amp;T0", "PRE", 181)</f>
        <v>7346.75</v>
      </c>
      <c r="C189" s="28">
        <f>RTD("rtdtrading.rtdserver",, "T&amp;T0", "QUL", 181)</f>
        <v>5</v>
      </c>
      <c r="D189" s="28" t="str">
        <f>RTD("rtdtrading.rtdserver",, "T&amp;T0", "AGR", 181)</f>
        <v>Comprador</v>
      </c>
      <c r="G189" s="36" t="str">
        <f>RTD("rtdtrading.rtdserver",, "T&amp;T1", "DAT", 181)</f>
        <v>19:06:09.015</v>
      </c>
      <c r="H189" s="37">
        <f>RTD("rtdtrading.rtdserver",, "T&amp;T1", "PRE", 181)</f>
        <v>7346.5</v>
      </c>
      <c r="I189" s="38">
        <f>RTD("rtdtrading.rtdserver",, "T&amp;T1", "QUL", 181)</f>
        <v>1</v>
      </c>
      <c r="J189" s="39" t="str">
        <f>RTD("rtdtrading.rtdserver",, "T&amp;T1", "AGR", 181)</f>
        <v>Vendedor</v>
      </c>
    </row>
    <row r="190" spans="1:10" x14ac:dyDescent="0.25">
      <c r="A190" s="44" t="str">
        <f>RTD("rtdtrading.rtdserver",, "T&amp;T0", "DAT", 182)</f>
        <v>19:06:10.718</v>
      </c>
      <c r="B190" s="27">
        <f>RTD("rtdtrading.rtdserver",, "T&amp;T0", "PRE", 182)</f>
        <v>7346.75</v>
      </c>
      <c r="C190" s="28">
        <f>RTD("rtdtrading.rtdserver",, "T&amp;T0", "QUL", 182)</f>
        <v>6</v>
      </c>
      <c r="D190" s="28" t="str">
        <f>RTD("rtdtrading.rtdserver",, "T&amp;T0", "AGR", 182)</f>
        <v>Comprador</v>
      </c>
      <c r="G190" s="36" t="str">
        <f>RTD("rtdtrading.rtdserver",, "T&amp;T1", "DAT", 182)</f>
        <v>19:06:09.015</v>
      </c>
      <c r="H190" s="37">
        <f>RTD("rtdtrading.rtdserver",, "T&amp;T1", "PRE", 182)</f>
        <v>7346.5</v>
      </c>
      <c r="I190" s="38">
        <f>RTD("rtdtrading.rtdserver",, "T&amp;T1", "QUL", 182)</f>
        <v>1</v>
      </c>
      <c r="J190" s="39" t="str">
        <f>RTD("rtdtrading.rtdserver",, "T&amp;T1", "AGR", 182)</f>
        <v>Vendedor</v>
      </c>
    </row>
    <row r="191" spans="1:10" x14ac:dyDescent="0.25">
      <c r="A191" s="44" t="str">
        <f>RTD("rtdtrading.rtdserver",, "T&amp;T0", "DAT", 183)</f>
        <v>19:06:09.018</v>
      </c>
      <c r="B191" s="27">
        <f>RTD("rtdtrading.rtdserver",, "T&amp;T0", "PRE", 183)</f>
        <v>7346.5</v>
      </c>
      <c r="C191" s="28">
        <f>RTD("rtdtrading.rtdserver",, "T&amp;T0", "QUL", 183)</f>
        <v>1</v>
      </c>
      <c r="D191" s="28" t="str">
        <f>RTD("rtdtrading.rtdserver",, "T&amp;T0", "AGR", 183)</f>
        <v>Comprador</v>
      </c>
      <c r="G191" s="36" t="str">
        <f>RTD("rtdtrading.rtdserver",, "T&amp;T1", "DAT", 183)</f>
        <v>19:06:09.015</v>
      </c>
      <c r="H191" s="37">
        <f>RTD("rtdtrading.rtdserver",, "T&amp;T1", "PRE", 183)</f>
        <v>7346.5</v>
      </c>
      <c r="I191" s="38">
        <f>RTD("rtdtrading.rtdserver",, "T&amp;T1", "QUL", 183)</f>
        <v>1</v>
      </c>
      <c r="J191" s="39" t="str">
        <f>RTD("rtdtrading.rtdserver",, "T&amp;T1", "AGR", 183)</f>
        <v>Vendedor</v>
      </c>
    </row>
    <row r="192" spans="1:10" x14ac:dyDescent="0.25">
      <c r="A192" s="44" t="str">
        <f>RTD("rtdtrading.rtdserver",, "T&amp;T0", "DAT", 184)</f>
        <v>19:06:09.016</v>
      </c>
      <c r="B192" s="27">
        <f>RTD("rtdtrading.rtdserver",, "T&amp;T0", "PRE", 184)</f>
        <v>7346.5</v>
      </c>
      <c r="C192" s="28">
        <f>RTD("rtdtrading.rtdserver",, "T&amp;T0", "QUL", 184)</f>
        <v>1</v>
      </c>
      <c r="D192" s="28" t="str">
        <f>RTD("rtdtrading.rtdserver",, "T&amp;T0", "AGR", 184)</f>
        <v>Comprador</v>
      </c>
      <c r="G192" s="36" t="str">
        <f>RTD("rtdtrading.rtdserver",, "T&amp;T1", "DAT", 184)</f>
        <v>19:06:08.593</v>
      </c>
      <c r="H192" s="37">
        <f>RTD("rtdtrading.rtdserver",, "T&amp;T1", "PRE", 184)</f>
        <v>7346.25</v>
      </c>
      <c r="I192" s="38">
        <f>RTD("rtdtrading.rtdserver",, "T&amp;T1", "QUL", 184)</f>
        <v>1</v>
      </c>
      <c r="J192" s="39" t="str">
        <f>RTD("rtdtrading.rtdserver",, "T&amp;T1", "AGR", 184)</f>
        <v>Vendedor</v>
      </c>
    </row>
    <row r="193" spans="1:10" x14ac:dyDescent="0.25">
      <c r="A193" s="44" t="str">
        <f>RTD("rtdtrading.rtdserver",, "T&amp;T0", "DAT", 185)</f>
        <v>19:06:09.016</v>
      </c>
      <c r="B193" s="27">
        <f>RTD("rtdtrading.rtdserver",, "T&amp;T0", "PRE", 185)</f>
        <v>7346.5</v>
      </c>
      <c r="C193" s="28">
        <f>RTD("rtdtrading.rtdserver",, "T&amp;T0", "QUL", 185)</f>
        <v>1</v>
      </c>
      <c r="D193" s="28" t="str">
        <f>RTD("rtdtrading.rtdserver",, "T&amp;T0", "AGR", 185)</f>
        <v>Comprador</v>
      </c>
      <c r="G193" s="36" t="str">
        <f>RTD("rtdtrading.rtdserver",, "T&amp;T1", "DAT", 185)</f>
        <v>19:06:07.925</v>
      </c>
      <c r="H193" s="37">
        <f>RTD("rtdtrading.rtdserver",, "T&amp;T1", "PRE", 185)</f>
        <v>7346</v>
      </c>
      <c r="I193" s="38">
        <f>RTD("rtdtrading.rtdserver",, "T&amp;T1", "QUL", 185)</f>
        <v>1</v>
      </c>
      <c r="J193" s="39" t="str">
        <f>RTD("rtdtrading.rtdserver",, "T&amp;T1", "AGR", 185)</f>
        <v>Vendedor</v>
      </c>
    </row>
    <row r="194" spans="1:10" x14ac:dyDescent="0.25">
      <c r="A194" s="44" t="str">
        <f>RTD("rtdtrading.rtdserver",, "T&amp;T0", "DAT", 186)</f>
        <v>19:06:09.015</v>
      </c>
      <c r="B194" s="27">
        <f>RTD("rtdtrading.rtdserver",, "T&amp;T0", "PRE", 186)</f>
        <v>7346.75</v>
      </c>
      <c r="C194" s="28">
        <f>RTD("rtdtrading.rtdserver",, "T&amp;T0", "QUL", 186)</f>
        <v>4</v>
      </c>
      <c r="D194" s="28" t="str">
        <f>RTD("rtdtrading.rtdserver",, "T&amp;T0", "AGR", 186)</f>
        <v>Comprador</v>
      </c>
      <c r="G194" s="36" t="str">
        <f>RTD("rtdtrading.rtdserver",, "T&amp;T1", "DAT", 186)</f>
        <v>19:06:07.662</v>
      </c>
      <c r="H194" s="37">
        <f>RTD("rtdtrading.rtdserver",, "T&amp;T1", "PRE", 186)</f>
        <v>7345.75</v>
      </c>
      <c r="I194" s="38">
        <f>RTD("rtdtrading.rtdserver",, "T&amp;T1", "QUL", 186)</f>
        <v>1</v>
      </c>
      <c r="J194" s="39" t="str">
        <f>RTD("rtdtrading.rtdserver",, "T&amp;T1", "AGR", 186)</f>
        <v>Vendedor</v>
      </c>
    </row>
    <row r="195" spans="1:10" x14ac:dyDescent="0.25">
      <c r="A195" s="44" t="str">
        <f>RTD("rtdtrading.rtdserver",, "T&amp;T0", "DAT", 187)</f>
        <v>19:06:09.015</v>
      </c>
      <c r="B195" s="27">
        <f>RTD("rtdtrading.rtdserver",, "T&amp;T0", "PRE", 187)</f>
        <v>7346.5</v>
      </c>
      <c r="C195" s="28">
        <f>RTD("rtdtrading.rtdserver",, "T&amp;T0", "QUL", 187)</f>
        <v>1</v>
      </c>
      <c r="D195" s="28" t="str">
        <f>RTD("rtdtrading.rtdserver",, "T&amp;T0", "AGR", 187)</f>
        <v>Comprador</v>
      </c>
      <c r="G195" s="36" t="str">
        <f>RTD("rtdtrading.rtdserver",, "T&amp;T1", "DAT", 187)</f>
        <v>19:06:07.650</v>
      </c>
      <c r="H195" s="37">
        <f>RTD("rtdtrading.rtdserver",, "T&amp;T1", "PRE", 187)</f>
        <v>7346</v>
      </c>
      <c r="I195" s="38">
        <f>RTD("rtdtrading.rtdserver",, "T&amp;T1", "QUL", 187)</f>
        <v>1</v>
      </c>
      <c r="J195" s="39" t="str">
        <f>RTD("rtdtrading.rtdserver",, "T&amp;T1", "AGR", 187)</f>
        <v>Vendedor</v>
      </c>
    </row>
    <row r="196" spans="1:10" x14ac:dyDescent="0.25">
      <c r="A196" s="44" t="str">
        <f>RTD("rtdtrading.rtdserver",, "T&amp;T0", "DAT", 188)</f>
        <v>19:06:07.771</v>
      </c>
      <c r="B196" s="27">
        <f>RTD("rtdtrading.rtdserver",, "T&amp;T0", "PRE", 188)</f>
        <v>7346.25</v>
      </c>
      <c r="C196" s="28">
        <f>RTD("rtdtrading.rtdserver",, "T&amp;T0", "QUL", 188)</f>
        <v>3</v>
      </c>
      <c r="D196" s="28" t="str">
        <f>RTD("rtdtrading.rtdserver",, "T&amp;T0", "AGR", 188)</f>
        <v>Comprador</v>
      </c>
      <c r="G196" s="36" t="str">
        <f>RTD("rtdtrading.rtdserver",, "T&amp;T1", "DAT", 188)</f>
        <v>19:06:07.650</v>
      </c>
      <c r="H196" s="37">
        <f>RTD("rtdtrading.rtdserver",, "T&amp;T1", "PRE", 188)</f>
        <v>7346</v>
      </c>
      <c r="I196" s="38">
        <f>RTD("rtdtrading.rtdserver",, "T&amp;T1", "QUL", 188)</f>
        <v>6</v>
      </c>
      <c r="J196" s="39" t="str">
        <f>RTD("rtdtrading.rtdserver",, "T&amp;T1", "AGR", 188)</f>
        <v>Vendedor</v>
      </c>
    </row>
    <row r="197" spans="1:10" x14ac:dyDescent="0.25">
      <c r="A197" s="44" t="str">
        <f>RTD("rtdtrading.rtdserver",, "T&amp;T0", "DAT", 189)</f>
        <v>19:06:07.690</v>
      </c>
      <c r="B197" s="27">
        <f>RTD("rtdtrading.rtdserver",, "T&amp;T0", "PRE", 189)</f>
        <v>7346</v>
      </c>
      <c r="C197" s="28">
        <f>RTD("rtdtrading.rtdserver",, "T&amp;T0", "QUL", 189)</f>
        <v>1</v>
      </c>
      <c r="D197" s="28" t="str">
        <f>RTD("rtdtrading.rtdserver",, "T&amp;T0", "AGR", 189)</f>
        <v>Comprador</v>
      </c>
      <c r="G197" s="36" t="str">
        <f>RTD("rtdtrading.rtdserver",, "T&amp;T1", "DAT", 189)</f>
        <v>19:06:07.650</v>
      </c>
      <c r="H197" s="37">
        <f>RTD("rtdtrading.rtdserver",, "T&amp;T1", "PRE", 189)</f>
        <v>7346</v>
      </c>
      <c r="I197" s="38">
        <f>RTD("rtdtrading.rtdserver",, "T&amp;T1", "QUL", 189)</f>
        <v>5</v>
      </c>
      <c r="J197" s="39" t="str">
        <f>RTD("rtdtrading.rtdserver",, "T&amp;T1", "AGR", 189)</f>
        <v>Vendedor</v>
      </c>
    </row>
    <row r="198" spans="1:10" x14ac:dyDescent="0.25">
      <c r="A198" s="44" t="str">
        <f>RTD("rtdtrading.rtdserver",, "T&amp;T0", "DAT", 190)</f>
        <v>19:06:07.651</v>
      </c>
      <c r="B198" s="27">
        <f>RTD("rtdtrading.rtdserver",, "T&amp;T0", "PRE", 190)</f>
        <v>7346</v>
      </c>
      <c r="C198" s="28">
        <f>RTD("rtdtrading.rtdserver",, "T&amp;T0", "QUL", 190)</f>
        <v>1</v>
      </c>
      <c r="D198" s="28" t="str">
        <f>RTD("rtdtrading.rtdserver",, "T&amp;T0", "AGR", 190)</f>
        <v>Comprador</v>
      </c>
      <c r="G198" s="36" t="str">
        <f>RTD("rtdtrading.rtdserver",, "T&amp;T1", "DAT", 190)</f>
        <v>19:06:07.650</v>
      </c>
      <c r="H198" s="37">
        <f>RTD("rtdtrading.rtdserver",, "T&amp;T1", "PRE", 190)</f>
        <v>7346</v>
      </c>
      <c r="I198" s="38">
        <f>RTD("rtdtrading.rtdserver",, "T&amp;T1", "QUL", 190)</f>
        <v>2</v>
      </c>
      <c r="J198" s="39" t="str">
        <f>RTD("rtdtrading.rtdserver",, "T&amp;T1", "AGR", 190)</f>
        <v>Vendedor</v>
      </c>
    </row>
    <row r="199" spans="1:10" x14ac:dyDescent="0.25">
      <c r="A199" s="44" t="str">
        <f>RTD("rtdtrading.rtdserver",, "T&amp;T0", "DAT", 191)</f>
        <v>19:06:07.650</v>
      </c>
      <c r="B199" s="27">
        <f>RTD("rtdtrading.rtdserver",, "T&amp;T0", "PRE", 191)</f>
        <v>7346</v>
      </c>
      <c r="C199" s="28">
        <f>RTD("rtdtrading.rtdserver",, "T&amp;T0", "QUL", 191)</f>
        <v>1</v>
      </c>
      <c r="D199" s="28" t="str">
        <f>RTD("rtdtrading.rtdserver",, "T&amp;T0", "AGR", 191)</f>
        <v>Comprador</v>
      </c>
      <c r="G199" s="36" t="str">
        <f>RTD("rtdtrading.rtdserver",, "T&amp;T1", "DAT", 191)</f>
        <v>19:06:07.650</v>
      </c>
      <c r="H199" s="37">
        <f>RTD("rtdtrading.rtdserver",, "T&amp;T1", "PRE", 191)</f>
        <v>7346</v>
      </c>
      <c r="I199" s="38">
        <f>RTD("rtdtrading.rtdserver",, "T&amp;T1", "QUL", 191)</f>
        <v>2</v>
      </c>
      <c r="J199" s="39" t="str">
        <f>RTD("rtdtrading.rtdserver",, "T&amp;T1", "AGR", 191)</f>
        <v>Vendedor</v>
      </c>
    </row>
    <row r="200" spans="1:10" x14ac:dyDescent="0.25">
      <c r="A200" s="44" t="str">
        <f>RTD("rtdtrading.rtdserver",, "T&amp;T0", "DAT", 192)</f>
        <v>19:06:07.650</v>
      </c>
      <c r="B200" s="27">
        <f>RTD("rtdtrading.rtdserver",, "T&amp;T0", "PRE", 192)</f>
        <v>7346</v>
      </c>
      <c r="C200" s="28">
        <f>RTD("rtdtrading.rtdserver",, "T&amp;T0", "QUL", 192)</f>
        <v>1</v>
      </c>
      <c r="D200" s="28" t="str">
        <f>RTD("rtdtrading.rtdserver",, "T&amp;T0", "AGR", 192)</f>
        <v>Comprador</v>
      </c>
      <c r="G200" s="36" t="str">
        <f>RTD("rtdtrading.rtdserver",, "T&amp;T1", "DAT", 192)</f>
        <v>19:06:07.650</v>
      </c>
      <c r="H200" s="37">
        <f>RTD("rtdtrading.rtdserver",, "T&amp;T1", "PRE", 192)</f>
        <v>7346</v>
      </c>
      <c r="I200" s="38">
        <f>RTD("rtdtrading.rtdserver",, "T&amp;T1", "QUL", 192)</f>
        <v>2</v>
      </c>
      <c r="J200" s="39" t="str">
        <f>RTD("rtdtrading.rtdserver",, "T&amp;T1", "AGR", 192)</f>
        <v>Vendedor</v>
      </c>
    </row>
    <row r="201" spans="1:10" x14ac:dyDescent="0.25">
      <c r="A201" s="44" t="str">
        <f>RTD("rtdtrading.rtdserver",, "T&amp;T0", "DAT", 193)</f>
        <v>19:06:07.401</v>
      </c>
      <c r="B201" s="27">
        <f>RTD("rtdtrading.rtdserver",, "T&amp;T0", "PRE", 193)</f>
        <v>7346.25</v>
      </c>
      <c r="C201" s="28">
        <f>RTD("rtdtrading.rtdserver",, "T&amp;T0", "QUL", 193)</f>
        <v>3</v>
      </c>
      <c r="D201" s="28" t="str">
        <f>RTD("rtdtrading.rtdserver",, "T&amp;T0", "AGR", 193)</f>
        <v>Comprador</v>
      </c>
      <c r="G201" s="36" t="str">
        <f>RTD("rtdtrading.rtdserver",, "T&amp;T1", "DAT", 193)</f>
        <v>19:06:07.400</v>
      </c>
      <c r="H201" s="37">
        <f>RTD("rtdtrading.rtdserver",, "T&amp;T1", "PRE", 193)</f>
        <v>7346.25</v>
      </c>
      <c r="I201" s="38">
        <f>RTD("rtdtrading.rtdserver",, "T&amp;T1", "QUL", 193)</f>
        <v>1</v>
      </c>
      <c r="J201" s="39" t="str">
        <f>RTD("rtdtrading.rtdserver",, "T&amp;T1", "AGR", 193)</f>
        <v>Vendedor</v>
      </c>
    </row>
    <row r="202" spans="1:10" x14ac:dyDescent="0.25">
      <c r="A202" s="44" t="str">
        <f>RTD("rtdtrading.rtdserver",, "T&amp;T0", "DAT", 194)</f>
        <v>19:06:07.401</v>
      </c>
      <c r="B202" s="27">
        <f>RTD("rtdtrading.rtdserver",, "T&amp;T0", "PRE", 194)</f>
        <v>7346.25</v>
      </c>
      <c r="C202" s="28">
        <f>RTD("rtdtrading.rtdserver",, "T&amp;T0", "QUL", 194)</f>
        <v>1</v>
      </c>
      <c r="D202" s="28" t="str">
        <f>RTD("rtdtrading.rtdserver",, "T&amp;T0", "AGR", 194)</f>
        <v>Comprador</v>
      </c>
      <c r="G202" s="36" t="str">
        <f>RTD("rtdtrading.rtdserver",, "T&amp;T1", "DAT", 194)</f>
        <v>19:06:07.400</v>
      </c>
      <c r="H202" s="37">
        <f>RTD("rtdtrading.rtdserver",, "T&amp;T1", "PRE", 194)</f>
        <v>7346.25</v>
      </c>
      <c r="I202" s="38">
        <f>RTD("rtdtrading.rtdserver",, "T&amp;T1", "QUL", 194)</f>
        <v>1</v>
      </c>
      <c r="J202" s="39" t="str">
        <f>RTD("rtdtrading.rtdserver",, "T&amp;T1", "AGR", 194)</f>
        <v>Vendedor</v>
      </c>
    </row>
    <row r="203" spans="1:10" x14ac:dyDescent="0.25">
      <c r="A203" s="44" t="str">
        <f>RTD("rtdtrading.rtdserver",, "T&amp;T0", "DAT", 195)</f>
        <v>19:06:06.042</v>
      </c>
      <c r="B203" s="27">
        <f>RTD("rtdtrading.rtdserver",, "T&amp;T0", "PRE", 195)</f>
        <v>7346.5</v>
      </c>
      <c r="C203" s="28">
        <f>RTD("rtdtrading.rtdserver",, "T&amp;T0", "QUL", 195)</f>
        <v>1</v>
      </c>
      <c r="D203" s="28" t="str">
        <f>RTD("rtdtrading.rtdserver",, "T&amp;T0", "AGR", 195)</f>
        <v>Comprador</v>
      </c>
      <c r="G203" s="36" t="str">
        <f>RTD("rtdtrading.rtdserver",, "T&amp;T1", "DAT", 195)</f>
        <v>19:06:07.400</v>
      </c>
      <c r="H203" s="37">
        <f>RTD("rtdtrading.rtdserver",, "T&amp;T1", "PRE", 195)</f>
        <v>7346.25</v>
      </c>
      <c r="I203" s="38">
        <f>RTD("rtdtrading.rtdserver",, "T&amp;T1", "QUL", 195)</f>
        <v>1</v>
      </c>
      <c r="J203" s="39" t="str">
        <f>RTD("rtdtrading.rtdserver",, "T&amp;T1", "AGR", 195)</f>
        <v>Vendedor</v>
      </c>
    </row>
    <row r="204" spans="1:10" x14ac:dyDescent="0.25">
      <c r="A204" s="44" t="str">
        <f>RTD("rtdtrading.rtdserver",, "T&amp;T0", "DAT", 196)</f>
        <v>19:06:05.570</v>
      </c>
      <c r="B204" s="27">
        <f>RTD("rtdtrading.rtdserver",, "T&amp;T0", "PRE", 196)</f>
        <v>7346.75</v>
      </c>
      <c r="C204" s="28">
        <f>RTD("rtdtrading.rtdserver",, "T&amp;T0", "QUL", 196)</f>
        <v>1</v>
      </c>
      <c r="D204" s="28" t="str">
        <f>RTD("rtdtrading.rtdserver",, "T&amp;T0", "AGR", 196)</f>
        <v>Comprador</v>
      </c>
      <c r="G204" s="36" t="str">
        <f>RTD("rtdtrading.rtdserver",, "T&amp;T1", "DAT", 196)</f>
        <v>19:06:07.400</v>
      </c>
      <c r="H204" s="37">
        <f>RTD("rtdtrading.rtdserver",, "T&amp;T1", "PRE", 196)</f>
        <v>7346.25</v>
      </c>
      <c r="I204" s="38">
        <f>RTD("rtdtrading.rtdserver",, "T&amp;T1", "QUL", 196)</f>
        <v>1</v>
      </c>
      <c r="J204" s="39" t="str">
        <f>RTD("rtdtrading.rtdserver",, "T&amp;T1", "AGR", 196)</f>
        <v>Vendedor</v>
      </c>
    </row>
    <row r="205" spans="1:10" x14ac:dyDescent="0.25">
      <c r="A205" s="44" t="str">
        <f>RTD("rtdtrading.rtdserver",, "T&amp;T0", "DAT", 197)</f>
        <v>19:06:05.567</v>
      </c>
      <c r="B205" s="27">
        <f>RTD("rtdtrading.rtdserver",, "T&amp;T0", "PRE", 197)</f>
        <v>7346.75</v>
      </c>
      <c r="C205" s="28">
        <f>RTD("rtdtrading.rtdserver",, "T&amp;T0", "QUL", 197)</f>
        <v>1</v>
      </c>
      <c r="D205" s="28" t="str">
        <f>RTD("rtdtrading.rtdserver",, "T&amp;T0", "AGR", 197)</f>
        <v>Comprador</v>
      </c>
      <c r="G205" s="36" t="str">
        <f>RTD("rtdtrading.rtdserver",, "T&amp;T1", "DAT", 197)</f>
        <v>19:06:07.400</v>
      </c>
      <c r="H205" s="37">
        <f>RTD("rtdtrading.rtdserver",, "T&amp;T1", "PRE", 197)</f>
        <v>7346.25</v>
      </c>
      <c r="I205" s="38">
        <f>RTD("rtdtrading.rtdserver",, "T&amp;T1", "QUL", 197)</f>
        <v>1</v>
      </c>
      <c r="J205" s="39" t="str">
        <f>RTD("rtdtrading.rtdserver",, "T&amp;T1", "AGR", 197)</f>
        <v>Vendedor</v>
      </c>
    </row>
    <row r="206" spans="1:10" x14ac:dyDescent="0.25">
      <c r="A206" s="44" t="str">
        <f>RTD("rtdtrading.rtdserver",, "T&amp;T0", "DAT", 198)</f>
        <v>19:06:05.567</v>
      </c>
      <c r="B206" s="27">
        <f>RTD("rtdtrading.rtdserver",, "T&amp;T0", "PRE", 198)</f>
        <v>7346.75</v>
      </c>
      <c r="C206" s="28">
        <f>RTD("rtdtrading.rtdserver",, "T&amp;T0", "QUL", 198)</f>
        <v>1</v>
      </c>
      <c r="D206" s="28" t="str">
        <f>RTD("rtdtrading.rtdserver",, "T&amp;T0", "AGR", 198)</f>
        <v>Comprador</v>
      </c>
      <c r="G206" s="36" t="str">
        <f>RTD("rtdtrading.rtdserver",, "T&amp;T1", "DAT", 198)</f>
        <v>19:06:07.400</v>
      </c>
      <c r="H206" s="37">
        <f>RTD("rtdtrading.rtdserver",, "T&amp;T1", "PRE", 198)</f>
        <v>7346.25</v>
      </c>
      <c r="I206" s="38">
        <f>RTD("rtdtrading.rtdserver",, "T&amp;T1", "QUL", 198)</f>
        <v>11</v>
      </c>
      <c r="J206" s="39" t="str">
        <f>RTD("rtdtrading.rtdserver",, "T&amp;T1", "AGR", 198)</f>
        <v>Vendedor</v>
      </c>
    </row>
    <row r="207" spans="1:10" x14ac:dyDescent="0.25">
      <c r="A207" s="44" t="str">
        <f>RTD("rtdtrading.rtdserver",, "T&amp;T0", "DAT", 199)</f>
        <v>19:06:05.566</v>
      </c>
      <c r="B207" s="27">
        <f>RTD("rtdtrading.rtdserver",, "T&amp;T0", "PRE", 199)</f>
        <v>7346.75</v>
      </c>
      <c r="C207" s="28">
        <f>RTD("rtdtrading.rtdserver",, "T&amp;T0", "QUL", 199)</f>
        <v>20</v>
      </c>
      <c r="D207" s="28" t="str">
        <f>RTD("rtdtrading.rtdserver",, "T&amp;T0", "AGR", 199)</f>
        <v>Comprador</v>
      </c>
      <c r="G207" s="36" t="str">
        <f>RTD("rtdtrading.rtdserver",, "T&amp;T1", "DAT", 199)</f>
        <v>19:06:05.580</v>
      </c>
      <c r="H207" s="37">
        <f>RTD("rtdtrading.rtdserver",, "T&amp;T1", "PRE", 199)</f>
        <v>7346.5</v>
      </c>
      <c r="I207" s="38">
        <f>RTD("rtdtrading.rtdserver",, "T&amp;T1", "QUL", 199)</f>
        <v>1</v>
      </c>
      <c r="J207" s="39" t="str">
        <f>RTD("rtdtrading.rtdserver",, "T&amp;T1", "AGR", 199)</f>
        <v>Vendedor</v>
      </c>
    </row>
    <row r="208" spans="1:10" x14ac:dyDescent="0.25">
      <c r="A208" s="44" t="str">
        <f>RTD("rtdtrading.rtdserver",, "T&amp;T0", "DAT", 200)</f>
        <v>19:06:04.597</v>
      </c>
      <c r="B208" s="27">
        <f>RTD("rtdtrading.rtdserver",, "T&amp;T0", "PRE", 200)</f>
        <v>7346.75</v>
      </c>
      <c r="C208" s="28">
        <f>RTD("rtdtrading.rtdserver",, "T&amp;T0", "QUL", 200)</f>
        <v>3</v>
      </c>
      <c r="D208" s="28" t="str">
        <f>RTD("rtdtrading.rtdserver",, "T&amp;T0", "AGR", 200)</f>
        <v>Comprador</v>
      </c>
      <c r="G208" s="36" t="str">
        <f>RTD("rtdtrading.rtdserver",, "T&amp;T1", "DAT", 200)</f>
        <v>19:06:05.568</v>
      </c>
      <c r="H208" s="37">
        <f>RTD("rtdtrading.rtdserver",, "T&amp;T1", "PRE", 200)</f>
        <v>7346.5</v>
      </c>
      <c r="I208" s="38">
        <f>RTD("rtdtrading.rtdserver",, "T&amp;T1", "QUL", 200)</f>
        <v>1</v>
      </c>
      <c r="J208" s="39" t="str">
        <f>RTD("rtdtrading.rtdserver",, "T&amp;T1", "AGR", 200)</f>
        <v>Vendedor</v>
      </c>
    </row>
    <row r="209" spans="1:10" x14ac:dyDescent="0.25">
      <c r="A209" s="44" t="str">
        <f>RTD("rtdtrading.rtdserver",, "T&amp;T0", "DAT", 201)</f>
        <v>19:06:03.971</v>
      </c>
      <c r="B209" s="27">
        <f>RTD("rtdtrading.rtdserver",, "T&amp;T0", "PRE", 201)</f>
        <v>7346.75</v>
      </c>
      <c r="C209" s="28">
        <f>RTD("rtdtrading.rtdserver",, "T&amp;T0", "QUL", 201)</f>
        <v>2</v>
      </c>
      <c r="D209" s="28" t="str">
        <f>RTD("rtdtrading.rtdserver",, "T&amp;T0", "AGR", 201)</f>
        <v>Comprador</v>
      </c>
      <c r="G209" s="36" t="str">
        <f>RTD("rtdtrading.rtdserver",, "T&amp;T1", "DAT", 201)</f>
        <v>19:06:05.071</v>
      </c>
      <c r="H209" s="37">
        <f>RTD("rtdtrading.rtdserver",, "T&amp;T1", "PRE", 201)</f>
        <v>7346.5</v>
      </c>
      <c r="I209" s="38">
        <f>RTD("rtdtrading.rtdserver",, "T&amp;T1", "QUL", 201)</f>
        <v>1</v>
      </c>
      <c r="J209" s="39" t="str">
        <f>RTD("rtdtrading.rtdserver",, "T&amp;T1", "AGR", 201)</f>
        <v>Vendedor</v>
      </c>
    </row>
    <row r="210" spans="1:10" x14ac:dyDescent="0.25">
      <c r="A210" s="44" t="str">
        <f>RTD("rtdtrading.rtdserver",, "T&amp;T0", "DAT", 202)</f>
        <v>19:06:03.971</v>
      </c>
      <c r="B210" s="27">
        <f>RTD("rtdtrading.rtdserver",, "T&amp;T0", "PRE", 202)</f>
        <v>7346.5</v>
      </c>
      <c r="C210" s="28">
        <f>RTD("rtdtrading.rtdserver",, "T&amp;T0", "QUL", 202)</f>
        <v>1</v>
      </c>
      <c r="D210" s="28" t="str">
        <f>RTD("rtdtrading.rtdserver",, "T&amp;T0", "AGR", 202)</f>
        <v>Comprador</v>
      </c>
      <c r="G210" s="36" t="str">
        <f>RTD("rtdtrading.rtdserver",, "T&amp;T1", "DAT", 202)</f>
        <v>19:06:04.687</v>
      </c>
      <c r="H210" s="37">
        <f>RTD("rtdtrading.rtdserver",, "T&amp;T1", "PRE", 202)</f>
        <v>7346.5</v>
      </c>
      <c r="I210" s="38">
        <f>RTD("rtdtrading.rtdserver",, "T&amp;T1", "QUL", 202)</f>
        <v>1</v>
      </c>
      <c r="J210" s="39" t="str">
        <f>RTD("rtdtrading.rtdserver",, "T&amp;T1", "AGR", 202)</f>
        <v>Vendedor</v>
      </c>
    </row>
    <row r="211" spans="1:10" x14ac:dyDescent="0.25">
      <c r="A211" s="44" t="str">
        <f>RTD("rtdtrading.rtdserver",, "T&amp;T0", "DAT", 203)</f>
        <v>19:06:02.745</v>
      </c>
      <c r="B211" s="27">
        <f>RTD("rtdtrading.rtdserver",, "T&amp;T0", "PRE", 203)</f>
        <v>7346.75</v>
      </c>
      <c r="C211" s="28">
        <f>RTD("rtdtrading.rtdserver",, "T&amp;T0", "QUL", 203)</f>
        <v>3</v>
      </c>
      <c r="D211" s="28" t="str">
        <f>RTD("rtdtrading.rtdserver",, "T&amp;T0", "AGR", 203)</f>
        <v>Comprador</v>
      </c>
      <c r="G211" s="36" t="str">
        <f>RTD("rtdtrading.rtdserver",, "T&amp;T1", "DAT", 203)</f>
        <v>19:06:04.687</v>
      </c>
      <c r="H211" s="37">
        <f>RTD("rtdtrading.rtdserver",, "T&amp;T1", "PRE", 203)</f>
        <v>7346.5</v>
      </c>
      <c r="I211" s="38">
        <f>RTD("rtdtrading.rtdserver",, "T&amp;T1", "QUL", 203)</f>
        <v>1</v>
      </c>
      <c r="J211" s="39" t="str">
        <f>RTD("rtdtrading.rtdserver",, "T&amp;T1", "AGR", 203)</f>
        <v>Vendedor</v>
      </c>
    </row>
    <row r="212" spans="1:10" x14ac:dyDescent="0.25">
      <c r="A212" s="44" t="str">
        <f>RTD("rtdtrading.rtdserver",, "T&amp;T0", "DAT", 204)</f>
        <v>19:06:02.244</v>
      </c>
      <c r="B212" s="27">
        <f>RTD("rtdtrading.rtdserver",, "T&amp;T0", "PRE", 204)</f>
        <v>7346.75</v>
      </c>
      <c r="C212" s="28">
        <f>RTD("rtdtrading.rtdserver",, "T&amp;T0", "QUL", 204)</f>
        <v>1</v>
      </c>
      <c r="D212" s="28" t="str">
        <f>RTD("rtdtrading.rtdserver",, "T&amp;T0", "AGR", 204)</f>
        <v>Comprador</v>
      </c>
      <c r="G212" s="36" t="str">
        <f>RTD("rtdtrading.rtdserver",, "T&amp;T1", "DAT", 204)</f>
        <v>19:06:04.686</v>
      </c>
      <c r="H212" s="37">
        <f>RTD("rtdtrading.rtdserver",, "T&amp;T1", "PRE", 204)</f>
        <v>7346.5</v>
      </c>
      <c r="I212" s="38">
        <f>RTD("rtdtrading.rtdserver",, "T&amp;T1", "QUL", 204)</f>
        <v>2</v>
      </c>
      <c r="J212" s="39" t="str">
        <f>RTD("rtdtrading.rtdserver",, "T&amp;T1", "AGR", 204)</f>
        <v>Vendedor</v>
      </c>
    </row>
    <row r="213" spans="1:10" x14ac:dyDescent="0.25">
      <c r="A213" s="44" t="str">
        <f>RTD("rtdtrading.rtdserver",, "T&amp;T0", "DAT", 205)</f>
        <v>19:06:02.025</v>
      </c>
      <c r="B213" s="27">
        <f>RTD("rtdtrading.rtdserver",, "T&amp;T0", "PRE", 205)</f>
        <v>7346.75</v>
      </c>
      <c r="C213" s="28">
        <f>RTD("rtdtrading.rtdserver",, "T&amp;T0", "QUL", 205)</f>
        <v>1</v>
      </c>
      <c r="D213" s="28" t="str">
        <f>RTD("rtdtrading.rtdserver",, "T&amp;T0", "AGR", 205)</f>
        <v>Comprador</v>
      </c>
      <c r="G213" s="36" t="str">
        <f>RTD("rtdtrading.rtdserver",, "T&amp;T1", "DAT", 205)</f>
        <v>19:06:04.466</v>
      </c>
      <c r="H213" s="37">
        <f>RTD("rtdtrading.rtdserver",, "T&amp;T1", "PRE", 205)</f>
        <v>7346.5</v>
      </c>
      <c r="I213" s="38">
        <f>RTD("rtdtrading.rtdserver",, "T&amp;T1", "QUL", 205)</f>
        <v>1</v>
      </c>
      <c r="J213" s="39" t="str">
        <f>RTD("rtdtrading.rtdserver",, "T&amp;T1", "AGR", 205)</f>
        <v>Vendedor</v>
      </c>
    </row>
    <row r="214" spans="1:10" x14ac:dyDescent="0.25">
      <c r="A214" s="44" t="str">
        <f>RTD("rtdtrading.rtdserver",, "T&amp;T0", "DAT", 206)</f>
        <v>19:06:02.025</v>
      </c>
      <c r="B214" s="27">
        <f>RTD("rtdtrading.rtdserver",, "T&amp;T0", "PRE", 206)</f>
        <v>7346.75</v>
      </c>
      <c r="C214" s="28">
        <f>RTD("rtdtrading.rtdserver",, "T&amp;T0", "QUL", 206)</f>
        <v>1</v>
      </c>
      <c r="D214" s="28" t="str">
        <f>RTD("rtdtrading.rtdserver",, "T&amp;T0", "AGR", 206)</f>
        <v>Comprador</v>
      </c>
      <c r="G214" s="36" t="str">
        <f>RTD("rtdtrading.rtdserver",, "T&amp;T1", "DAT", 206)</f>
        <v>19:06:03.971</v>
      </c>
      <c r="H214" s="37">
        <f>RTD("rtdtrading.rtdserver",, "T&amp;T1", "PRE", 206)</f>
        <v>7346.5</v>
      </c>
      <c r="I214" s="38">
        <f>RTD("rtdtrading.rtdserver",, "T&amp;T1", "QUL", 206)</f>
        <v>1</v>
      </c>
      <c r="J214" s="39" t="str">
        <f>RTD("rtdtrading.rtdserver",, "T&amp;T1", "AGR", 206)</f>
        <v>Vendedor</v>
      </c>
    </row>
    <row r="215" spans="1:10" x14ac:dyDescent="0.25">
      <c r="A215" s="44" t="str">
        <f>RTD("rtdtrading.rtdserver",, "T&amp;T0", "DAT", 207)</f>
        <v>19:06:02.024</v>
      </c>
      <c r="B215" s="27">
        <f>RTD("rtdtrading.rtdserver",, "T&amp;T0", "PRE", 207)</f>
        <v>7346.75</v>
      </c>
      <c r="C215" s="28">
        <f>RTD("rtdtrading.rtdserver",, "T&amp;T0", "QUL", 207)</f>
        <v>5</v>
      </c>
      <c r="D215" s="28" t="str">
        <f>RTD("rtdtrading.rtdserver",, "T&amp;T0", "AGR", 207)</f>
        <v>Comprador</v>
      </c>
      <c r="G215" s="36" t="str">
        <f>RTD("rtdtrading.rtdserver",, "T&amp;T1", "DAT", 207)</f>
        <v>19:06:03.971</v>
      </c>
      <c r="H215" s="37">
        <f>RTD("rtdtrading.rtdserver",, "T&amp;T1", "PRE", 207)</f>
        <v>7346.5</v>
      </c>
      <c r="I215" s="38">
        <f>RTD("rtdtrading.rtdserver",, "T&amp;T1", "QUL", 207)</f>
        <v>1</v>
      </c>
      <c r="J215" s="39" t="str">
        <f>RTD("rtdtrading.rtdserver",, "T&amp;T1", "AGR", 207)</f>
        <v>Vendedor</v>
      </c>
    </row>
    <row r="216" spans="1:10" x14ac:dyDescent="0.25">
      <c r="A216" s="44" t="str">
        <f>RTD("rtdtrading.rtdserver",, "T&amp;T0", "DAT", 208)</f>
        <v>19:06:02.024</v>
      </c>
      <c r="B216" s="27">
        <f>RTD("rtdtrading.rtdserver",, "T&amp;T0", "PRE", 208)</f>
        <v>7346.75</v>
      </c>
      <c r="C216" s="28">
        <f>RTD("rtdtrading.rtdserver",, "T&amp;T0", "QUL", 208)</f>
        <v>1</v>
      </c>
      <c r="D216" s="28" t="str">
        <f>RTD("rtdtrading.rtdserver",, "T&amp;T0", "AGR", 208)</f>
        <v>Comprador</v>
      </c>
      <c r="G216" s="36" t="str">
        <f>RTD("rtdtrading.rtdserver",, "T&amp;T1", "DAT", 208)</f>
        <v>19:06:03.752</v>
      </c>
      <c r="H216" s="37">
        <f>RTD("rtdtrading.rtdserver",, "T&amp;T1", "PRE", 208)</f>
        <v>7346.25</v>
      </c>
      <c r="I216" s="38">
        <f>RTD("rtdtrading.rtdserver",, "T&amp;T1", "QUL", 208)</f>
        <v>2</v>
      </c>
      <c r="J216" s="39" t="str">
        <f>RTD("rtdtrading.rtdserver",, "T&amp;T1", "AGR", 208)</f>
        <v>Vendedor</v>
      </c>
    </row>
    <row r="217" spans="1:10" x14ac:dyDescent="0.25">
      <c r="A217" s="44" t="str">
        <f>RTD("rtdtrading.rtdserver",, "T&amp;T0", "DAT", 209)</f>
        <v>19:06:02.024</v>
      </c>
      <c r="B217" s="27">
        <f>RTD("rtdtrading.rtdserver",, "T&amp;T0", "PRE", 209)</f>
        <v>7346.75</v>
      </c>
      <c r="C217" s="28">
        <f>RTD("rtdtrading.rtdserver",, "T&amp;T0", "QUL", 209)</f>
        <v>1</v>
      </c>
      <c r="D217" s="28" t="str">
        <f>RTD("rtdtrading.rtdserver",, "T&amp;T0", "AGR", 209)</f>
        <v>Comprador</v>
      </c>
      <c r="G217" s="36" t="str">
        <f>RTD("rtdtrading.rtdserver",, "T&amp;T1", "DAT", 209)</f>
        <v>19:06:03.752</v>
      </c>
      <c r="H217" s="37">
        <f>RTD("rtdtrading.rtdserver",, "T&amp;T1", "PRE", 209)</f>
        <v>7346.25</v>
      </c>
      <c r="I217" s="38">
        <f>RTD("rtdtrading.rtdserver",, "T&amp;T1", "QUL", 209)</f>
        <v>2</v>
      </c>
      <c r="J217" s="39" t="str">
        <f>RTD("rtdtrading.rtdserver",, "T&amp;T1", "AGR", 209)</f>
        <v>Vendedor</v>
      </c>
    </row>
    <row r="218" spans="1:10" x14ac:dyDescent="0.25">
      <c r="A218" s="44" t="str">
        <f>RTD("rtdtrading.rtdserver",, "T&amp;T0", "DAT", 210)</f>
        <v>19:06:02.024</v>
      </c>
      <c r="B218" s="27">
        <f>RTD("rtdtrading.rtdserver",, "T&amp;T0", "PRE", 210)</f>
        <v>7346.75</v>
      </c>
      <c r="C218" s="28">
        <f>RTD("rtdtrading.rtdserver",, "T&amp;T0", "QUL", 210)</f>
        <v>1</v>
      </c>
      <c r="D218" s="28" t="str">
        <f>RTD("rtdtrading.rtdserver",, "T&amp;T0", "AGR", 210)</f>
        <v>Comprador</v>
      </c>
      <c r="G218" s="36" t="str">
        <f>RTD("rtdtrading.rtdserver",, "T&amp;T1", "DAT", 210)</f>
        <v>19:06:03.752</v>
      </c>
      <c r="H218" s="37">
        <f>RTD("rtdtrading.rtdserver",, "T&amp;T1", "PRE", 210)</f>
        <v>7346.25</v>
      </c>
      <c r="I218" s="38">
        <f>RTD("rtdtrading.rtdserver",, "T&amp;T1", "QUL", 210)</f>
        <v>1</v>
      </c>
      <c r="J218" s="39" t="str">
        <f>RTD("rtdtrading.rtdserver",, "T&amp;T1", "AGR", 210)</f>
        <v>Vendedor</v>
      </c>
    </row>
    <row r="219" spans="1:10" x14ac:dyDescent="0.25">
      <c r="A219" s="44" t="str">
        <f>RTD("rtdtrading.rtdserver",, "T&amp;T0", "DAT", 211)</f>
        <v>19:06:02.024</v>
      </c>
      <c r="B219" s="27">
        <f>RTD("rtdtrading.rtdserver",, "T&amp;T0", "PRE", 211)</f>
        <v>7346.75</v>
      </c>
      <c r="C219" s="28">
        <f>RTD("rtdtrading.rtdserver",, "T&amp;T0", "QUL", 211)</f>
        <v>1</v>
      </c>
      <c r="D219" s="28" t="str">
        <f>RTD("rtdtrading.rtdserver",, "T&amp;T0", "AGR", 211)</f>
        <v>Comprador</v>
      </c>
      <c r="G219" s="36" t="str">
        <f>RTD("rtdtrading.rtdserver",, "T&amp;T1", "DAT", 211)</f>
        <v>19:06:03.752</v>
      </c>
      <c r="H219" s="37">
        <f>RTD("rtdtrading.rtdserver",, "T&amp;T1", "PRE", 211)</f>
        <v>7346.25</v>
      </c>
      <c r="I219" s="38">
        <f>RTD("rtdtrading.rtdserver",, "T&amp;T1", "QUL", 211)</f>
        <v>2</v>
      </c>
      <c r="J219" s="39" t="str">
        <f>RTD("rtdtrading.rtdserver",, "T&amp;T1", "AGR", 211)</f>
        <v>Vendedor</v>
      </c>
    </row>
    <row r="220" spans="1:10" x14ac:dyDescent="0.25">
      <c r="A220" s="44" t="str">
        <f>RTD("rtdtrading.rtdserver",, "T&amp;T0", "DAT", 212)</f>
        <v>19:06:02.023</v>
      </c>
      <c r="B220" s="27">
        <f>RTD("rtdtrading.rtdserver",, "T&amp;T0", "PRE", 212)</f>
        <v>7346.75</v>
      </c>
      <c r="C220" s="28">
        <f>RTD("rtdtrading.rtdserver",, "T&amp;T0", "QUL", 212)</f>
        <v>1</v>
      </c>
      <c r="D220" s="28" t="str">
        <f>RTD("rtdtrading.rtdserver",, "T&amp;T0", "AGR", 212)</f>
        <v>Comprador</v>
      </c>
      <c r="G220" s="36" t="str">
        <f>RTD("rtdtrading.rtdserver",, "T&amp;T1", "DAT", 212)</f>
        <v>19:06:03.699</v>
      </c>
      <c r="H220" s="37">
        <f>RTD("rtdtrading.rtdserver",, "T&amp;T1", "PRE", 212)</f>
        <v>7346.5</v>
      </c>
      <c r="I220" s="38">
        <f>RTD("rtdtrading.rtdserver",, "T&amp;T1", "QUL", 212)</f>
        <v>1</v>
      </c>
      <c r="J220" s="39" t="str">
        <f>RTD("rtdtrading.rtdserver",, "T&amp;T1", "AGR", 212)</f>
        <v>Vendedor</v>
      </c>
    </row>
    <row r="221" spans="1:10" x14ac:dyDescent="0.25">
      <c r="A221" s="44" t="str">
        <f>RTD("rtdtrading.rtdserver",, "T&amp;T0", "DAT", 213)</f>
        <v>19:06:02.023</v>
      </c>
      <c r="B221" s="27">
        <f>RTD("rtdtrading.rtdserver",, "T&amp;T0", "PRE", 213)</f>
        <v>7346.75</v>
      </c>
      <c r="C221" s="28">
        <f>RTD("rtdtrading.rtdserver",, "T&amp;T0", "QUL", 213)</f>
        <v>1</v>
      </c>
      <c r="D221" s="28" t="str">
        <f>RTD("rtdtrading.rtdserver",, "T&amp;T0", "AGR", 213)</f>
        <v>Comprador</v>
      </c>
      <c r="G221" s="36" t="str">
        <f>RTD("rtdtrading.rtdserver",, "T&amp;T1", "DAT", 213)</f>
        <v>19:06:03.699</v>
      </c>
      <c r="H221" s="37">
        <f>RTD("rtdtrading.rtdserver",, "T&amp;T1", "PRE", 213)</f>
        <v>7346.5</v>
      </c>
      <c r="I221" s="38">
        <f>RTD("rtdtrading.rtdserver",, "T&amp;T1", "QUL", 213)</f>
        <v>5</v>
      </c>
      <c r="J221" s="39" t="str">
        <f>RTD("rtdtrading.rtdserver",, "T&amp;T1", "AGR", 213)</f>
        <v>Vendedor</v>
      </c>
    </row>
    <row r="222" spans="1:10" x14ac:dyDescent="0.25">
      <c r="A222" s="44" t="str">
        <f>RTD("rtdtrading.rtdserver",, "T&amp;T0", "DAT", 214)</f>
        <v>19:06:02.023</v>
      </c>
      <c r="B222" s="27">
        <f>RTD("rtdtrading.rtdserver",, "T&amp;T0", "PRE", 214)</f>
        <v>7346.75</v>
      </c>
      <c r="C222" s="28">
        <f>RTD("rtdtrading.rtdserver",, "T&amp;T0", "QUL", 214)</f>
        <v>1</v>
      </c>
      <c r="D222" s="28" t="str">
        <f>RTD("rtdtrading.rtdserver",, "T&amp;T0", "AGR", 214)</f>
        <v>Comprador</v>
      </c>
      <c r="G222" s="36" t="str">
        <f>RTD("rtdtrading.rtdserver",, "T&amp;T1", "DAT", 214)</f>
        <v>19:06:02.024</v>
      </c>
      <c r="H222" s="37">
        <f>RTD("rtdtrading.rtdserver",, "T&amp;T1", "PRE", 214)</f>
        <v>7346.5</v>
      </c>
      <c r="I222" s="38">
        <f>RTD("rtdtrading.rtdserver",, "T&amp;T1", "QUL", 214)</f>
        <v>1</v>
      </c>
      <c r="J222" s="39" t="str">
        <f>RTD("rtdtrading.rtdserver",, "T&amp;T1", "AGR", 214)</f>
        <v>Vendedor</v>
      </c>
    </row>
    <row r="223" spans="1:10" x14ac:dyDescent="0.25">
      <c r="A223" s="44" t="str">
        <f>RTD("rtdtrading.rtdserver",, "T&amp;T0", "DAT", 215)</f>
        <v>19:06:02.023</v>
      </c>
      <c r="B223" s="27">
        <f>RTD("rtdtrading.rtdserver",, "T&amp;T0", "PRE", 215)</f>
        <v>7346.75</v>
      </c>
      <c r="C223" s="28">
        <f>RTD("rtdtrading.rtdserver",, "T&amp;T0", "QUL", 215)</f>
        <v>1</v>
      </c>
      <c r="D223" s="28" t="str">
        <f>RTD("rtdtrading.rtdserver",, "T&amp;T0", "AGR", 215)</f>
        <v>Comprador</v>
      </c>
      <c r="G223" s="36" t="str">
        <f>RTD("rtdtrading.rtdserver",, "T&amp;T1", "DAT", 215)</f>
        <v>19:06:02.023</v>
      </c>
      <c r="H223" s="37">
        <f>RTD("rtdtrading.rtdserver",, "T&amp;T1", "PRE", 215)</f>
        <v>7346.75</v>
      </c>
      <c r="I223" s="38">
        <f>RTD("rtdtrading.rtdserver",, "T&amp;T1", "QUL", 215)</f>
        <v>7</v>
      </c>
      <c r="J223" s="39" t="str">
        <f>RTD("rtdtrading.rtdserver",, "T&amp;T1", "AGR", 215)</f>
        <v>Vendedor</v>
      </c>
    </row>
    <row r="224" spans="1:10" x14ac:dyDescent="0.25">
      <c r="A224" s="44" t="str">
        <f>RTD("rtdtrading.rtdserver",, "T&amp;T0", "DAT", 216)</f>
        <v>19:06:02.023</v>
      </c>
      <c r="B224" s="27">
        <f>RTD("rtdtrading.rtdserver",, "T&amp;T0", "PRE", 216)</f>
        <v>7346.75</v>
      </c>
      <c r="C224" s="28">
        <f>RTD("rtdtrading.rtdserver",, "T&amp;T0", "QUL", 216)</f>
        <v>1</v>
      </c>
      <c r="D224" s="28" t="str">
        <f>RTD("rtdtrading.rtdserver",, "T&amp;T0", "AGR", 216)</f>
        <v>Comprador</v>
      </c>
      <c r="G224" s="36" t="str">
        <f>RTD("rtdtrading.rtdserver",, "T&amp;T1", "DAT", 216)</f>
        <v>19:06:02.023</v>
      </c>
      <c r="H224" s="37">
        <f>RTD("rtdtrading.rtdserver",, "T&amp;T1", "PRE", 216)</f>
        <v>7347</v>
      </c>
      <c r="I224" s="38">
        <f>RTD("rtdtrading.rtdserver",, "T&amp;T1", "QUL", 216)</f>
        <v>6</v>
      </c>
      <c r="J224" s="39" t="str">
        <f>RTD("rtdtrading.rtdserver",, "T&amp;T1", "AGR", 216)</f>
        <v>Vendedor</v>
      </c>
    </row>
    <row r="225" spans="1:10" x14ac:dyDescent="0.25">
      <c r="A225" s="44" t="str">
        <f>RTD("rtdtrading.rtdserver",, "T&amp;T0", "DAT", 217)</f>
        <v>19:06:02.023</v>
      </c>
      <c r="B225" s="27">
        <f>RTD("rtdtrading.rtdserver",, "T&amp;T0", "PRE", 217)</f>
        <v>7346.75</v>
      </c>
      <c r="C225" s="28">
        <f>RTD("rtdtrading.rtdserver",, "T&amp;T0", "QUL", 217)</f>
        <v>1</v>
      </c>
      <c r="D225" s="28" t="str">
        <f>RTD("rtdtrading.rtdserver",, "T&amp;T0", "AGR", 217)</f>
        <v>Comprador</v>
      </c>
      <c r="G225" s="36" t="str">
        <f>RTD("rtdtrading.rtdserver",, "T&amp;T1", "DAT", 217)</f>
        <v>19:06:02.023</v>
      </c>
      <c r="H225" s="37">
        <f>RTD("rtdtrading.rtdserver",, "T&amp;T1", "PRE", 217)</f>
        <v>7347.25</v>
      </c>
      <c r="I225" s="38">
        <f>RTD("rtdtrading.rtdserver",, "T&amp;T1", "QUL", 217)</f>
        <v>7</v>
      </c>
      <c r="J225" s="39" t="str">
        <f>RTD("rtdtrading.rtdserver",, "T&amp;T1", "AGR", 217)</f>
        <v>Vendedor</v>
      </c>
    </row>
    <row r="226" spans="1:10" x14ac:dyDescent="0.25">
      <c r="A226" s="44" t="str">
        <f>RTD("rtdtrading.rtdserver",, "T&amp;T0", "DAT", 218)</f>
        <v>19:06:01.389</v>
      </c>
      <c r="B226" s="27">
        <f>RTD("rtdtrading.rtdserver",, "T&amp;T0", "PRE", 218)</f>
        <v>7347.5</v>
      </c>
      <c r="C226" s="28">
        <f>RTD("rtdtrading.rtdserver",, "T&amp;T0", "QUL", 218)</f>
        <v>1</v>
      </c>
      <c r="D226" s="28" t="str">
        <f>RTD("rtdtrading.rtdserver",, "T&amp;T0", "AGR", 218)</f>
        <v>Comprador</v>
      </c>
      <c r="G226" s="36" t="str">
        <f>RTD("rtdtrading.rtdserver",, "T&amp;T1", "DAT", 218)</f>
        <v>19:06:01.892</v>
      </c>
      <c r="H226" s="37">
        <f>RTD("rtdtrading.rtdserver",, "T&amp;T1", "PRE", 218)</f>
        <v>7347.25</v>
      </c>
      <c r="I226" s="38">
        <f>RTD("rtdtrading.rtdserver",, "T&amp;T1", "QUL", 218)</f>
        <v>1</v>
      </c>
      <c r="J226" s="39" t="str">
        <f>RTD("rtdtrading.rtdserver",, "T&amp;T1", "AGR", 218)</f>
        <v>Vendedor</v>
      </c>
    </row>
    <row r="227" spans="1:10" x14ac:dyDescent="0.25">
      <c r="A227" s="44" t="str">
        <f>RTD("rtdtrading.rtdserver",, "T&amp;T0", "DAT", 219)</f>
        <v>19:06:01.128</v>
      </c>
      <c r="B227" s="27">
        <f>RTD("rtdtrading.rtdserver",, "T&amp;T0", "PRE", 219)</f>
        <v>7347.5</v>
      </c>
      <c r="C227" s="28">
        <f>RTD("rtdtrading.rtdserver",, "T&amp;T0", "QUL", 219)</f>
        <v>1</v>
      </c>
      <c r="D227" s="28" t="str">
        <f>RTD("rtdtrading.rtdserver",, "T&amp;T0", "AGR", 219)</f>
        <v>Comprador</v>
      </c>
      <c r="G227" s="36" t="str">
        <f>RTD("rtdtrading.rtdserver",, "T&amp;T1", "DAT", 219)</f>
        <v>19:05:59.230</v>
      </c>
      <c r="H227" s="37">
        <f>RTD("rtdtrading.rtdserver",, "T&amp;T1", "PRE", 219)</f>
        <v>7347</v>
      </c>
      <c r="I227" s="38">
        <f>RTD("rtdtrading.rtdserver",, "T&amp;T1", "QUL", 219)</f>
        <v>2</v>
      </c>
      <c r="J227" s="39" t="str">
        <f>RTD("rtdtrading.rtdserver",, "T&amp;T1", "AGR", 219)</f>
        <v>Vendedor</v>
      </c>
    </row>
    <row r="228" spans="1:10" x14ac:dyDescent="0.25">
      <c r="A228" s="44" t="str">
        <f>RTD("rtdtrading.rtdserver",, "T&amp;T0", "DAT", 220)</f>
        <v>19:06:01.128</v>
      </c>
      <c r="B228" s="27">
        <f>RTD("rtdtrading.rtdserver",, "T&amp;T0", "PRE", 220)</f>
        <v>7347.5</v>
      </c>
      <c r="C228" s="28">
        <f>RTD("rtdtrading.rtdserver",, "T&amp;T0", "QUL", 220)</f>
        <v>1</v>
      </c>
      <c r="D228" s="28" t="str">
        <f>RTD("rtdtrading.rtdserver",, "T&amp;T0", "AGR", 220)</f>
        <v>Comprador</v>
      </c>
      <c r="G228" s="36" t="str">
        <f>RTD("rtdtrading.rtdserver",, "T&amp;T1", "DAT", 220)</f>
        <v>19:05:59.224</v>
      </c>
      <c r="H228" s="37">
        <f>RTD("rtdtrading.rtdserver",, "T&amp;T1", "PRE", 220)</f>
        <v>7347.25</v>
      </c>
      <c r="I228" s="38">
        <f>RTD("rtdtrading.rtdserver",, "T&amp;T1", "QUL", 220)</f>
        <v>2</v>
      </c>
      <c r="J228" s="39" t="str">
        <f>RTD("rtdtrading.rtdserver",, "T&amp;T1", "AGR", 220)</f>
        <v>Vendedor</v>
      </c>
    </row>
    <row r="229" spans="1:10" x14ac:dyDescent="0.25">
      <c r="A229" s="44" t="str">
        <f>RTD("rtdtrading.rtdserver",, "T&amp;T0", "DAT", 221)</f>
        <v>19:06:01.128</v>
      </c>
      <c r="B229" s="27">
        <f>RTD("rtdtrading.rtdserver",, "T&amp;T0", "PRE", 221)</f>
        <v>7347.5</v>
      </c>
      <c r="C229" s="28">
        <f>RTD("rtdtrading.rtdserver",, "T&amp;T0", "QUL", 221)</f>
        <v>2</v>
      </c>
      <c r="D229" s="28" t="str">
        <f>RTD("rtdtrading.rtdserver",, "T&amp;T0", "AGR", 221)</f>
        <v>Comprador</v>
      </c>
      <c r="G229" s="36" t="str">
        <f>RTD("rtdtrading.rtdserver",, "T&amp;T1", "DAT", 221)</f>
        <v>19:05:59.223</v>
      </c>
      <c r="H229" s="37">
        <f>RTD("rtdtrading.rtdserver",, "T&amp;T1", "PRE", 221)</f>
        <v>7347.25</v>
      </c>
      <c r="I229" s="38">
        <f>RTD("rtdtrading.rtdserver",, "T&amp;T1", "QUL", 221)</f>
        <v>1</v>
      </c>
      <c r="J229" s="39" t="str">
        <f>RTD("rtdtrading.rtdserver",, "T&amp;T1", "AGR", 221)</f>
        <v>Vendedor</v>
      </c>
    </row>
    <row r="230" spans="1:10" x14ac:dyDescent="0.25">
      <c r="A230" s="44" t="str">
        <f>RTD("rtdtrading.rtdserver",, "T&amp;T0", "DAT", 222)</f>
        <v>19:06:01.128</v>
      </c>
      <c r="B230" s="27">
        <f>RTD("rtdtrading.rtdserver",, "T&amp;T0", "PRE", 222)</f>
        <v>7347.5</v>
      </c>
      <c r="C230" s="28">
        <f>RTD("rtdtrading.rtdserver",, "T&amp;T0", "QUL", 222)</f>
        <v>23</v>
      </c>
      <c r="D230" s="28" t="str">
        <f>RTD("rtdtrading.rtdserver",, "T&amp;T0", "AGR", 222)</f>
        <v>Comprador</v>
      </c>
      <c r="G230" s="36" t="str">
        <f>RTD("rtdtrading.rtdserver",, "T&amp;T1", "DAT", 222)</f>
        <v>19:05:59.218</v>
      </c>
      <c r="H230" s="37">
        <f>RTD("rtdtrading.rtdserver",, "T&amp;T1", "PRE", 222)</f>
        <v>7347.25</v>
      </c>
      <c r="I230" s="38">
        <f>RTD("rtdtrading.rtdserver",, "T&amp;T1", "QUL", 222)</f>
        <v>1</v>
      </c>
      <c r="J230" s="39" t="str">
        <f>RTD("rtdtrading.rtdserver",, "T&amp;T1", "AGR", 222)</f>
        <v>Vendedor</v>
      </c>
    </row>
    <row r="231" spans="1:10" x14ac:dyDescent="0.25">
      <c r="A231" s="44" t="str">
        <f>RTD("rtdtrading.rtdserver",, "T&amp;T0", "DAT", 223)</f>
        <v>19:06:01.128</v>
      </c>
      <c r="B231" s="27">
        <f>RTD("rtdtrading.rtdserver",, "T&amp;T0", "PRE", 223)</f>
        <v>7347.5</v>
      </c>
      <c r="C231" s="28">
        <f>RTD("rtdtrading.rtdserver",, "T&amp;T0", "QUL", 223)</f>
        <v>4</v>
      </c>
      <c r="D231" s="28" t="str">
        <f>RTD("rtdtrading.rtdserver",, "T&amp;T0", "AGR", 223)</f>
        <v>Comprador</v>
      </c>
      <c r="G231" s="36" t="str">
        <f>RTD("rtdtrading.rtdserver",, "T&amp;T1", "DAT", 223)</f>
        <v>19:05:59.203</v>
      </c>
      <c r="H231" s="37">
        <f>RTD("rtdtrading.rtdserver",, "T&amp;T1", "PRE", 223)</f>
        <v>7347.25</v>
      </c>
      <c r="I231" s="38">
        <f>RTD("rtdtrading.rtdserver",, "T&amp;T1", "QUL", 223)</f>
        <v>1</v>
      </c>
      <c r="J231" s="39" t="str">
        <f>RTD("rtdtrading.rtdserver",, "T&amp;T1", "AGR", 223)</f>
        <v>Vendedor</v>
      </c>
    </row>
    <row r="232" spans="1:10" x14ac:dyDescent="0.25">
      <c r="A232" s="44" t="str">
        <f>RTD("rtdtrading.rtdserver",, "T&amp;T0", "DAT", 224)</f>
        <v>19:06:01.127</v>
      </c>
      <c r="B232" s="27">
        <f>RTD("rtdtrading.rtdserver",, "T&amp;T0", "PRE", 224)</f>
        <v>7347.5</v>
      </c>
      <c r="C232" s="28">
        <f>RTD("rtdtrading.rtdserver",, "T&amp;T0", "QUL", 224)</f>
        <v>19</v>
      </c>
      <c r="D232" s="28" t="str">
        <f>RTD("rtdtrading.rtdserver",, "T&amp;T0", "AGR", 224)</f>
        <v>Comprador</v>
      </c>
      <c r="G232" s="36" t="str">
        <f>RTD("rtdtrading.rtdserver",, "T&amp;T1", "DAT", 224)</f>
        <v>19:05:58.848</v>
      </c>
      <c r="H232" s="37">
        <f>RTD("rtdtrading.rtdserver",, "T&amp;T1", "PRE", 224)</f>
        <v>7347</v>
      </c>
      <c r="I232" s="38">
        <f>RTD("rtdtrading.rtdserver",, "T&amp;T1", "QUL", 224)</f>
        <v>1</v>
      </c>
      <c r="J232" s="39" t="str">
        <f>RTD("rtdtrading.rtdserver",, "T&amp;T1", "AGR", 224)</f>
        <v>Vendedor</v>
      </c>
    </row>
    <row r="233" spans="1:10" x14ac:dyDescent="0.25">
      <c r="A233" s="44" t="str">
        <f>RTD("rtdtrading.rtdserver",, "T&amp;T0", "DAT", 225)</f>
        <v>19:06:01.127</v>
      </c>
      <c r="B233" s="27">
        <f>RTD("rtdtrading.rtdserver",, "T&amp;T0", "PRE", 225)</f>
        <v>7347.5</v>
      </c>
      <c r="C233" s="28">
        <f>RTD("rtdtrading.rtdserver",, "T&amp;T0", "QUL", 225)</f>
        <v>1</v>
      </c>
      <c r="D233" s="28" t="str">
        <f>RTD("rtdtrading.rtdserver",, "T&amp;T0", "AGR", 225)</f>
        <v>Comprador</v>
      </c>
      <c r="G233" s="36" t="str">
        <f>RTD("rtdtrading.rtdserver",, "T&amp;T1", "DAT", 225)</f>
        <v>19:05:56.994</v>
      </c>
      <c r="H233" s="37">
        <f>RTD("rtdtrading.rtdserver",, "T&amp;T1", "PRE", 225)</f>
        <v>7346.75</v>
      </c>
      <c r="I233" s="38">
        <f>RTD("rtdtrading.rtdserver",, "T&amp;T1", "QUL", 225)</f>
        <v>1</v>
      </c>
      <c r="J233" s="39" t="str">
        <f>RTD("rtdtrading.rtdserver",, "T&amp;T1", "AGR", 225)</f>
        <v>Vendedor</v>
      </c>
    </row>
    <row r="234" spans="1:10" x14ac:dyDescent="0.25">
      <c r="A234" s="44" t="str">
        <f>RTD("rtdtrading.rtdserver",, "T&amp;T0", "DAT", 226)</f>
        <v>19:06:00.895</v>
      </c>
      <c r="B234" s="27">
        <f>RTD("rtdtrading.rtdserver",, "T&amp;T0", "PRE", 226)</f>
        <v>7347.5</v>
      </c>
      <c r="C234" s="28">
        <f>RTD("rtdtrading.rtdserver",, "T&amp;T0", "QUL", 226)</f>
        <v>2</v>
      </c>
      <c r="D234" s="28" t="str">
        <f>RTD("rtdtrading.rtdserver",, "T&amp;T0", "AGR", 226)</f>
        <v>Comprador</v>
      </c>
      <c r="G234" s="36" t="str">
        <f>RTD("rtdtrading.rtdserver",, "T&amp;T1", "DAT", 226)</f>
        <v>19:05:56.026</v>
      </c>
      <c r="H234" s="37">
        <f>RTD("rtdtrading.rtdserver",, "T&amp;T1", "PRE", 226)</f>
        <v>7346.75</v>
      </c>
      <c r="I234" s="38">
        <f>RTD("rtdtrading.rtdserver",, "T&amp;T1", "QUL", 226)</f>
        <v>1</v>
      </c>
      <c r="J234" s="39" t="str">
        <f>RTD("rtdtrading.rtdserver",, "T&amp;T1", "AGR", 226)</f>
        <v>Vendedor</v>
      </c>
    </row>
    <row r="235" spans="1:10" x14ac:dyDescent="0.25">
      <c r="A235" s="44" t="str">
        <f>RTD("rtdtrading.rtdserver",, "T&amp;T0", "DAT", 227)</f>
        <v>19:06:00.895</v>
      </c>
      <c r="B235" s="27">
        <f>RTD("rtdtrading.rtdserver",, "T&amp;T0", "PRE", 227)</f>
        <v>7347.25</v>
      </c>
      <c r="C235" s="28">
        <f>RTD("rtdtrading.rtdserver",, "T&amp;T0", "QUL", 227)</f>
        <v>1</v>
      </c>
      <c r="D235" s="28" t="str">
        <f>RTD("rtdtrading.rtdserver",, "T&amp;T0", "AGR", 227)</f>
        <v>Comprador</v>
      </c>
      <c r="G235" s="36" t="str">
        <f>RTD("rtdtrading.rtdserver",, "T&amp;T1", "DAT", 227)</f>
        <v>19:05:55.894</v>
      </c>
      <c r="H235" s="37">
        <f>RTD("rtdtrading.rtdserver",, "T&amp;T1", "PRE", 227)</f>
        <v>7346.75</v>
      </c>
      <c r="I235" s="38">
        <f>RTD("rtdtrading.rtdserver",, "T&amp;T1", "QUL", 227)</f>
        <v>1</v>
      </c>
      <c r="J235" s="39" t="str">
        <f>RTD("rtdtrading.rtdserver",, "T&amp;T1", "AGR", 227)</f>
        <v>Vendedor</v>
      </c>
    </row>
    <row r="236" spans="1:10" x14ac:dyDescent="0.25">
      <c r="A236" s="44" t="str">
        <f>RTD("rtdtrading.rtdserver",, "T&amp;T0", "DAT", 228)</f>
        <v>19:06:00.552</v>
      </c>
      <c r="B236" s="27">
        <f>RTD("rtdtrading.rtdserver",, "T&amp;T0", "PRE", 228)</f>
        <v>7347.25</v>
      </c>
      <c r="C236" s="28">
        <f>RTD("rtdtrading.rtdserver",, "T&amp;T0", "QUL", 228)</f>
        <v>1</v>
      </c>
      <c r="D236" s="28" t="str">
        <f>RTD("rtdtrading.rtdserver",, "T&amp;T0", "AGR", 228)</f>
        <v>Comprador</v>
      </c>
      <c r="G236" s="36" t="str">
        <f>RTD("rtdtrading.rtdserver",, "T&amp;T1", "DAT", 228)</f>
        <v>19:05:55.894</v>
      </c>
      <c r="H236" s="37">
        <f>RTD("rtdtrading.rtdserver",, "T&amp;T1", "PRE", 228)</f>
        <v>7346.75</v>
      </c>
      <c r="I236" s="38">
        <f>RTD("rtdtrading.rtdserver",, "T&amp;T1", "QUL", 228)</f>
        <v>2</v>
      </c>
      <c r="J236" s="39" t="str">
        <f>RTD("rtdtrading.rtdserver",, "T&amp;T1", "AGR", 228)</f>
        <v>Vendedor</v>
      </c>
    </row>
    <row r="237" spans="1:10" x14ac:dyDescent="0.25">
      <c r="A237" s="44" t="str">
        <f>RTD("rtdtrading.rtdserver",, "T&amp;T0", "DAT", 229)</f>
        <v>19:06:00.390</v>
      </c>
      <c r="B237" s="27">
        <f>RTD("rtdtrading.rtdserver",, "T&amp;T0", "PRE", 229)</f>
        <v>7347.25</v>
      </c>
      <c r="C237" s="28">
        <f>RTD("rtdtrading.rtdserver",, "T&amp;T0", "QUL", 229)</f>
        <v>1</v>
      </c>
      <c r="D237" s="28" t="str">
        <f>RTD("rtdtrading.rtdserver",, "T&amp;T0", "AGR", 229)</f>
        <v>Comprador</v>
      </c>
      <c r="G237" s="36" t="str">
        <f>RTD("rtdtrading.rtdserver",, "T&amp;T1", "DAT", 229)</f>
        <v>19:05:55.888</v>
      </c>
      <c r="H237" s="37">
        <f>RTD("rtdtrading.rtdserver",, "T&amp;T1", "PRE", 229)</f>
        <v>7346.75</v>
      </c>
      <c r="I237" s="38">
        <f>RTD("rtdtrading.rtdserver",, "T&amp;T1", "QUL", 229)</f>
        <v>1</v>
      </c>
      <c r="J237" s="39" t="str">
        <f>RTD("rtdtrading.rtdserver",, "T&amp;T1", "AGR", 229)</f>
        <v>Vendedor</v>
      </c>
    </row>
    <row r="238" spans="1:10" x14ac:dyDescent="0.25">
      <c r="A238" s="44" t="str">
        <f>RTD("rtdtrading.rtdserver",, "T&amp;T0", "DAT", 230)</f>
        <v>19:05:59.202</v>
      </c>
      <c r="B238" s="27">
        <f>RTD("rtdtrading.rtdserver",, "T&amp;T0", "PRE", 230)</f>
        <v>7347.25</v>
      </c>
      <c r="C238" s="28">
        <f>RTD("rtdtrading.rtdserver",, "T&amp;T0", "QUL", 230)</f>
        <v>4</v>
      </c>
      <c r="D238" s="28" t="str">
        <f>RTD("rtdtrading.rtdserver",, "T&amp;T0", "AGR", 230)</f>
        <v>Comprador</v>
      </c>
      <c r="G238" s="36" t="str">
        <f>RTD("rtdtrading.rtdserver",, "T&amp;T1", "DAT", 230)</f>
        <v>19:05:55.882</v>
      </c>
      <c r="H238" s="37">
        <f>RTD("rtdtrading.rtdserver",, "T&amp;T1", "PRE", 230)</f>
        <v>7346.75</v>
      </c>
      <c r="I238" s="38">
        <f>RTD("rtdtrading.rtdserver",, "T&amp;T1", "QUL", 230)</f>
        <v>1</v>
      </c>
      <c r="J238" s="39" t="str">
        <f>RTD("rtdtrading.rtdserver",, "T&amp;T1", "AGR", 230)</f>
        <v>Vendedor</v>
      </c>
    </row>
    <row r="239" spans="1:10" x14ac:dyDescent="0.25">
      <c r="A239" s="44" t="str">
        <f>RTD("rtdtrading.rtdserver",, "T&amp;T0", "DAT", 231)</f>
        <v>19:05:58.848</v>
      </c>
      <c r="B239" s="27">
        <f>RTD("rtdtrading.rtdserver",, "T&amp;T0", "PRE", 231)</f>
        <v>7347</v>
      </c>
      <c r="C239" s="28">
        <f>RTD("rtdtrading.rtdserver",, "T&amp;T0", "QUL", 231)</f>
        <v>3</v>
      </c>
      <c r="D239" s="28" t="str">
        <f>RTD("rtdtrading.rtdserver",, "T&amp;T0", "AGR", 231)</f>
        <v>Comprador</v>
      </c>
      <c r="G239" s="36" t="str">
        <f>RTD("rtdtrading.rtdserver",, "T&amp;T1", "DAT", 231)</f>
        <v>19:05:55.817</v>
      </c>
      <c r="H239" s="37">
        <f>RTD("rtdtrading.rtdserver",, "T&amp;T1", "PRE", 231)</f>
        <v>7346.75</v>
      </c>
      <c r="I239" s="38">
        <f>RTD("rtdtrading.rtdserver",, "T&amp;T1", "QUL", 231)</f>
        <v>1</v>
      </c>
      <c r="J239" s="39" t="str">
        <f>RTD("rtdtrading.rtdserver",, "T&amp;T1", "AGR", 231)</f>
        <v>Vendedor</v>
      </c>
    </row>
    <row r="240" spans="1:10" x14ac:dyDescent="0.25">
      <c r="A240" s="44" t="str">
        <f>RTD("rtdtrading.rtdserver",, "T&amp;T0", "DAT", 232)</f>
        <v>19:05:58.280</v>
      </c>
      <c r="B240" s="27">
        <f>RTD("rtdtrading.rtdserver",, "T&amp;T0", "PRE", 232)</f>
        <v>7347</v>
      </c>
      <c r="C240" s="28">
        <f>RTD("rtdtrading.rtdserver",, "T&amp;T0", "QUL", 232)</f>
        <v>2</v>
      </c>
      <c r="D240" s="28" t="str">
        <f>RTD("rtdtrading.rtdserver",, "T&amp;T0", "AGR", 232)</f>
        <v>Comprador</v>
      </c>
      <c r="G240" s="36" t="str">
        <f>RTD("rtdtrading.rtdserver",, "T&amp;T1", "DAT", 232)</f>
        <v>19:05:54.987</v>
      </c>
      <c r="H240" s="37">
        <f>RTD("rtdtrading.rtdserver",, "T&amp;T1", "PRE", 232)</f>
        <v>7346.75</v>
      </c>
      <c r="I240" s="38">
        <f>RTD("rtdtrading.rtdserver",, "T&amp;T1", "QUL", 232)</f>
        <v>1</v>
      </c>
      <c r="J240" s="39" t="str">
        <f>RTD("rtdtrading.rtdserver",, "T&amp;T1", "AGR", 232)</f>
        <v>Vendedor</v>
      </c>
    </row>
    <row r="241" spans="1:10" x14ac:dyDescent="0.25">
      <c r="A241" s="44" t="str">
        <f>RTD("rtdtrading.rtdserver",, "T&amp;T0", "DAT", 233)</f>
        <v>19:05:56.993</v>
      </c>
      <c r="B241" s="27">
        <f>RTD("rtdtrading.rtdserver",, "T&amp;T0", "PRE", 233)</f>
        <v>7347</v>
      </c>
      <c r="C241" s="28">
        <f>RTD("rtdtrading.rtdserver",, "T&amp;T0", "QUL", 233)</f>
        <v>3</v>
      </c>
      <c r="D241" s="28" t="str">
        <f>RTD("rtdtrading.rtdserver",, "T&amp;T0", "AGR", 233)</f>
        <v>Comprador</v>
      </c>
      <c r="G241" s="36" t="str">
        <f>RTD("rtdtrading.rtdserver",, "T&amp;T1", "DAT", 233)</f>
        <v>19:05:54.790</v>
      </c>
      <c r="H241" s="37">
        <f>RTD("rtdtrading.rtdserver",, "T&amp;T1", "PRE", 233)</f>
        <v>7346.75</v>
      </c>
      <c r="I241" s="38">
        <f>RTD("rtdtrading.rtdserver",, "T&amp;T1", "QUL", 233)</f>
        <v>1</v>
      </c>
      <c r="J241" s="39" t="str">
        <f>RTD("rtdtrading.rtdserver",, "T&amp;T1", "AGR", 233)</f>
        <v>Vendedor</v>
      </c>
    </row>
    <row r="242" spans="1:10" x14ac:dyDescent="0.25">
      <c r="A242" s="44" t="str">
        <f>RTD("rtdtrading.rtdserver",, "T&amp;T0", "DAT", 234)</f>
        <v>19:05:56.040</v>
      </c>
      <c r="B242" s="27">
        <f>RTD("rtdtrading.rtdserver",, "T&amp;T0", "PRE", 234)</f>
        <v>7346.75</v>
      </c>
      <c r="C242" s="28">
        <f>RTD("rtdtrading.rtdserver",, "T&amp;T0", "QUL", 234)</f>
        <v>1</v>
      </c>
      <c r="D242" s="28" t="str">
        <f>RTD("rtdtrading.rtdserver",, "T&amp;T0", "AGR", 234)</f>
        <v>Comprador</v>
      </c>
      <c r="G242" s="36" t="str">
        <f>RTD("rtdtrading.rtdserver",, "T&amp;T1", "DAT", 234)</f>
        <v>19:05:54.790</v>
      </c>
      <c r="H242" s="37">
        <f>RTD("rtdtrading.rtdserver",, "T&amp;T1", "PRE", 234)</f>
        <v>7346.75</v>
      </c>
      <c r="I242" s="38">
        <f>RTD("rtdtrading.rtdserver",, "T&amp;T1", "QUL", 234)</f>
        <v>4</v>
      </c>
      <c r="J242" s="39" t="str">
        <f>RTD("rtdtrading.rtdserver",, "T&amp;T1", "AGR", 234)</f>
        <v>Vendedor</v>
      </c>
    </row>
    <row r="243" spans="1:10" x14ac:dyDescent="0.25">
      <c r="A243" s="44" t="str">
        <f>RTD("rtdtrading.rtdserver",, "T&amp;T0", "DAT", 235)</f>
        <v>19:05:55.325</v>
      </c>
      <c r="B243" s="27">
        <f>RTD("rtdtrading.rtdserver",, "T&amp;T0", "PRE", 235)</f>
        <v>7346.75</v>
      </c>
      <c r="C243" s="28">
        <f>RTD("rtdtrading.rtdserver",, "T&amp;T0", "QUL", 235)</f>
        <v>1</v>
      </c>
      <c r="D243" s="28" t="str">
        <f>RTD("rtdtrading.rtdserver",, "T&amp;T0", "AGR", 235)</f>
        <v>Comprador</v>
      </c>
      <c r="G243" s="36" t="str">
        <f>RTD("rtdtrading.rtdserver",, "T&amp;T1", "DAT", 235)</f>
        <v>19:05:53.723</v>
      </c>
      <c r="H243" s="37">
        <f>RTD("rtdtrading.rtdserver",, "T&amp;T1", "PRE", 235)</f>
        <v>7346.75</v>
      </c>
      <c r="I243" s="38">
        <f>RTD("rtdtrading.rtdserver",, "T&amp;T1", "QUL", 235)</f>
        <v>1</v>
      </c>
      <c r="J243" s="39" t="str">
        <f>RTD("rtdtrading.rtdserver",, "T&amp;T1", "AGR", 235)</f>
        <v>Vendedor</v>
      </c>
    </row>
    <row r="244" spans="1:10" x14ac:dyDescent="0.25">
      <c r="A244" s="44" t="str">
        <f>RTD("rtdtrading.rtdserver",, "T&amp;T0", "DAT", 236)</f>
        <v>19:05:54.809</v>
      </c>
      <c r="B244" s="27">
        <f>RTD("rtdtrading.rtdserver",, "T&amp;T0", "PRE", 236)</f>
        <v>7346.75</v>
      </c>
      <c r="C244" s="28">
        <f>RTD("rtdtrading.rtdserver",, "T&amp;T0", "QUL", 236)</f>
        <v>1</v>
      </c>
      <c r="D244" s="28" t="str">
        <f>RTD("rtdtrading.rtdserver",, "T&amp;T0", "AGR", 236)</f>
        <v>Comprador</v>
      </c>
      <c r="G244" s="36" t="str">
        <f>RTD("rtdtrading.rtdserver",, "T&amp;T1", "DAT", 236)</f>
        <v>19:05:52.583</v>
      </c>
      <c r="H244" s="37">
        <f>RTD("rtdtrading.rtdserver",, "T&amp;T1", "PRE", 236)</f>
        <v>7346.75</v>
      </c>
      <c r="I244" s="38">
        <f>RTD("rtdtrading.rtdserver",, "T&amp;T1", "QUL", 236)</f>
        <v>1</v>
      </c>
      <c r="J244" s="39" t="str">
        <f>RTD("rtdtrading.rtdserver",, "T&amp;T1", "AGR", 236)</f>
        <v>Vendedor</v>
      </c>
    </row>
    <row r="245" spans="1:10" x14ac:dyDescent="0.25">
      <c r="A245" s="44" t="str">
        <f>RTD("rtdtrading.rtdserver",, "T&amp;T0", "DAT", 237)</f>
        <v>19:05:54.808</v>
      </c>
      <c r="B245" s="27">
        <f>RTD("rtdtrading.rtdserver",, "T&amp;T0", "PRE", 237)</f>
        <v>7346.75</v>
      </c>
      <c r="C245" s="28">
        <f>RTD("rtdtrading.rtdserver",, "T&amp;T0", "QUL", 237)</f>
        <v>2</v>
      </c>
      <c r="D245" s="28" t="str">
        <f>RTD("rtdtrading.rtdserver",, "T&amp;T0", "AGR", 237)</f>
        <v>Comprador</v>
      </c>
      <c r="G245" s="36" t="str">
        <f>RTD("rtdtrading.rtdserver",, "T&amp;T1", "DAT", 237)</f>
        <v>19:05:51.353</v>
      </c>
      <c r="H245" s="37">
        <f>RTD("rtdtrading.rtdserver",, "T&amp;T1", "PRE", 237)</f>
        <v>7346.5</v>
      </c>
      <c r="I245" s="38">
        <f>RTD("rtdtrading.rtdserver",, "T&amp;T1", "QUL", 237)</f>
        <v>1</v>
      </c>
      <c r="J245" s="39" t="str">
        <f>RTD("rtdtrading.rtdserver",, "T&amp;T1", "AGR", 237)</f>
        <v>Vendedor</v>
      </c>
    </row>
    <row r="246" spans="1:10" x14ac:dyDescent="0.25">
      <c r="A246" s="44" t="str">
        <f>RTD("rtdtrading.rtdserver",, "T&amp;T0", "DAT", 238)</f>
        <v>19:05:53.724</v>
      </c>
      <c r="B246" s="27">
        <f>RTD("rtdtrading.rtdserver",, "T&amp;T0", "PRE", 238)</f>
        <v>7347</v>
      </c>
      <c r="C246" s="28">
        <f>RTD("rtdtrading.rtdserver",, "T&amp;T0", "QUL", 238)</f>
        <v>1</v>
      </c>
      <c r="D246" s="28" t="str">
        <f>RTD("rtdtrading.rtdserver",, "T&amp;T0", "AGR", 238)</f>
        <v>Comprador</v>
      </c>
      <c r="G246" s="36" t="str">
        <f>RTD("rtdtrading.rtdserver",, "T&amp;T1", "DAT", 238)</f>
        <v>19:05:51.247</v>
      </c>
      <c r="H246" s="37">
        <f>RTD("rtdtrading.rtdserver",, "T&amp;T1", "PRE", 238)</f>
        <v>7346.5</v>
      </c>
      <c r="I246" s="38">
        <f>RTD("rtdtrading.rtdserver",, "T&amp;T1", "QUL", 238)</f>
        <v>5</v>
      </c>
      <c r="J246" s="39" t="str">
        <f>RTD("rtdtrading.rtdserver",, "T&amp;T1", "AGR", 238)</f>
        <v>Vendedor</v>
      </c>
    </row>
    <row r="247" spans="1:10" x14ac:dyDescent="0.25">
      <c r="A247" s="44" t="str">
        <f>RTD("rtdtrading.rtdserver",, "T&amp;T0", "DAT", 239)</f>
        <v>19:05:53.720</v>
      </c>
      <c r="B247" s="27">
        <f>RTD("rtdtrading.rtdserver",, "T&amp;T0", "PRE", 239)</f>
        <v>7347</v>
      </c>
      <c r="C247" s="28">
        <f>RTD("rtdtrading.rtdserver",, "T&amp;T0", "QUL", 239)</f>
        <v>3</v>
      </c>
      <c r="D247" s="28" t="str">
        <f>RTD("rtdtrading.rtdserver",, "T&amp;T0", "AGR", 239)</f>
        <v>Comprador</v>
      </c>
      <c r="G247" s="36" t="str">
        <f>RTD("rtdtrading.rtdserver",, "T&amp;T1", "DAT", 239)</f>
        <v>19:05:51.014</v>
      </c>
      <c r="H247" s="37">
        <f>RTD("rtdtrading.rtdserver",, "T&amp;T1", "PRE", 239)</f>
        <v>7346.75</v>
      </c>
      <c r="I247" s="38">
        <f>RTD("rtdtrading.rtdserver",, "T&amp;T1", "QUL", 239)</f>
        <v>7</v>
      </c>
      <c r="J247" s="39" t="str">
        <f>RTD("rtdtrading.rtdserver",, "T&amp;T1", "AGR", 239)</f>
        <v>Vendedor</v>
      </c>
    </row>
    <row r="248" spans="1:10" x14ac:dyDescent="0.25">
      <c r="A248" s="44" t="str">
        <f>RTD("rtdtrading.rtdserver",, "T&amp;T0", "DAT", 240)</f>
        <v>19:05:52.582</v>
      </c>
      <c r="B248" s="27">
        <f>RTD("rtdtrading.rtdserver",, "T&amp;T0", "PRE", 240)</f>
        <v>7347</v>
      </c>
      <c r="C248" s="28">
        <f>RTD("rtdtrading.rtdserver",, "T&amp;T0", "QUL", 240)</f>
        <v>4</v>
      </c>
      <c r="D248" s="28" t="str">
        <f>RTD("rtdtrading.rtdserver",, "T&amp;T0", "AGR", 240)</f>
        <v>Comprador</v>
      </c>
      <c r="G248" s="36" t="str">
        <f>RTD("rtdtrading.rtdserver",, "T&amp;T1", "DAT", 240)</f>
        <v>19:05:50.314</v>
      </c>
      <c r="H248" s="37">
        <f>RTD("rtdtrading.rtdserver",, "T&amp;T1", "PRE", 240)</f>
        <v>7346.75</v>
      </c>
      <c r="I248" s="38">
        <f>RTD("rtdtrading.rtdserver",, "T&amp;T1", "QUL", 240)</f>
        <v>5</v>
      </c>
      <c r="J248" s="39" t="str">
        <f>RTD("rtdtrading.rtdserver",, "T&amp;T1", "AGR", 240)</f>
        <v>Vendedor</v>
      </c>
    </row>
    <row r="249" spans="1:10" x14ac:dyDescent="0.25">
      <c r="A249" s="44" t="str">
        <f>RTD("rtdtrading.rtdserver",, "T&amp;T0", "DAT", 241)</f>
        <v>19:05:52.116</v>
      </c>
      <c r="B249" s="27">
        <f>RTD("rtdtrading.rtdserver",, "T&amp;T0", "PRE", 241)</f>
        <v>7346.75</v>
      </c>
      <c r="C249" s="28">
        <f>RTD("rtdtrading.rtdserver",, "T&amp;T0", "QUL", 241)</f>
        <v>1</v>
      </c>
      <c r="D249" s="28" t="str">
        <f>RTD("rtdtrading.rtdserver",, "T&amp;T0", "AGR", 241)</f>
        <v>Comprador</v>
      </c>
      <c r="G249" s="36" t="str">
        <f>RTD("rtdtrading.rtdserver",, "T&amp;T1", "DAT", 241)</f>
        <v>19:05:48.553</v>
      </c>
      <c r="H249" s="37">
        <f>RTD("rtdtrading.rtdserver",, "T&amp;T1", "PRE", 241)</f>
        <v>7347</v>
      </c>
      <c r="I249" s="38">
        <f>RTD("rtdtrading.rtdserver",, "T&amp;T1", "QUL", 241)</f>
        <v>1</v>
      </c>
      <c r="J249" s="39" t="str">
        <f>RTD("rtdtrading.rtdserver",, "T&amp;T1", "AGR", 241)</f>
        <v>Vendedor</v>
      </c>
    </row>
    <row r="250" spans="1:10" x14ac:dyDescent="0.25">
      <c r="A250" s="44" t="str">
        <f>RTD("rtdtrading.rtdserver",, "T&amp;T0", "DAT", 242)</f>
        <v>19:05:51.170</v>
      </c>
      <c r="B250" s="27">
        <f>RTD("rtdtrading.rtdserver",, "T&amp;T0", "PRE", 242)</f>
        <v>7346.75</v>
      </c>
      <c r="C250" s="28">
        <f>RTD("rtdtrading.rtdserver",, "T&amp;T0", "QUL", 242)</f>
        <v>1</v>
      </c>
      <c r="D250" s="28" t="str">
        <f>RTD("rtdtrading.rtdserver",, "T&amp;T0", "AGR", 242)</f>
        <v>Comprador</v>
      </c>
      <c r="G250" s="36" t="str">
        <f>RTD("rtdtrading.rtdserver",, "T&amp;T1", "DAT", 242)</f>
        <v>19:05:47.309</v>
      </c>
      <c r="H250" s="37">
        <f>RTD("rtdtrading.rtdserver",, "T&amp;T1", "PRE", 242)</f>
        <v>7346.75</v>
      </c>
      <c r="I250" s="38">
        <f>RTD("rtdtrading.rtdserver",, "T&amp;T1", "QUL", 242)</f>
        <v>1</v>
      </c>
      <c r="J250" s="39" t="str">
        <f>RTD("rtdtrading.rtdserver",, "T&amp;T1", "AGR", 242)</f>
        <v>Vendedor</v>
      </c>
    </row>
    <row r="251" spans="1:10" x14ac:dyDescent="0.25">
      <c r="A251" s="44" t="str">
        <f>RTD("rtdtrading.rtdserver",, "T&amp;T0", "DAT", 243)</f>
        <v>19:05:47.908</v>
      </c>
      <c r="B251" s="27">
        <f>RTD("rtdtrading.rtdserver",, "T&amp;T0", "PRE", 243)</f>
        <v>7347</v>
      </c>
      <c r="C251" s="28">
        <f>RTD("rtdtrading.rtdserver",, "T&amp;T0", "QUL", 243)</f>
        <v>2</v>
      </c>
      <c r="D251" s="28" t="str">
        <f>RTD("rtdtrading.rtdserver",, "T&amp;T0", "AGR", 243)</f>
        <v>Comprador</v>
      </c>
      <c r="G251" s="36" t="str">
        <f>RTD("rtdtrading.rtdserver",, "T&amp;T1", "DAT", 243)</f>
        <v>19:05:47.249</v>
      </c>
      <c r="H251" s="37">
        <f>RTD("rtdtrading.rtdserver",, "T&amp;T1", "PRE", 243)</f>
        <v>7346.5</v>
      </c>
      <c r="I251" s="38">
        <f>RTD("rtdtrading.rtdserver",, "T&amp;T1", "QUL", 243)</f>
        <v>7</v>
      </c>
      <c r="J251" s="39" t="str">
        <f>RTD("rtdtrading.rtdserver",, "T&amp;T1", "AGR", 243)</f>
        <v>Vendedor</v>
      </c>
    </row>
    <row r="252" spans="1:10" x14ac:dyDescent="0.25">
      <c r="A252" s="44" t="str">
        <f>RTD("rtdtrading.rtdserver",, "T&amp;T0", "DAT", 244)</f>
        <v>19:05:47.249</v>
      </c>
      <c r="B252" s="27">
        <f>RTD("rtdtrading.rtdserver",, "T&amp;T0", "PRE", 244)</f>
        <v>7346.5</v>
      </c>
      <c r="C252" s="28">
        <f>RTD("rtdtrading.rtdserver",, "T&amp;T0", "QUL", 244)</f>
        <v>1</v>
      </c>
      <c r="D252" s="28" t="str">
        <f>RTD("rtdtrading.rtdserver",, "T&amp;T0", "AGR", 244)</f>
        <v>Comprador</v>
      </c>
      <c r="G252" s="36" t="str">
        <f>RTD("rtdtrading.rtdserver",, "T&amp;T1", "DAT", 244)</f>
        <v>19:05:47.249</v>
      </c>
      <c r="H252" s="37">
        <f>RTD("rtdtrading.rtdserver",, "T&amp;T1", "PRE", 244)</f>
        <v>7346.75</v>
      </c>
      <c r="I252" s="38">
        <f>RTD("rtdtrading.rtdserver",, "T&amp;T1", "QUL", 244)</f>
        <v>7</v>
      </c>
      <c r="J252" s="39" t="str">
        <f>RTD("rtdtrading.rtdserver",, "T&amp;T1", "AGR", 244)</f>
        <v>Vendedor</v>
      </c>
    </row>
    <row r="253" spans="1:10" x14ac:dyDescent="0.25">
      <c r="A253" s="44" t="str">
        <f>RTD("rtdtrading.rtdserver",, "T&amp;T0", "DAT", 245)</f>
        <v>19:05:47.249</v>
      </c>
      <c r="B253" s="27">
        <f>RTD("rtdtrading.rtdserver",, "T&amp;T0", "PRE", 245)</f>
        <v>7346.5</v>
      </c>
      <c r="C253" s="28">
        <f>RTD("rtdtrading.rtdserver",, "T&amp;T0", "QUL", 245)</f>
        <v>11</v>
      </c>
      <c r="D253" s="28" t="str">
        <f>RTD("rtdtrading.rtdserver",, "T&amp;T0", "AGR", 245)</f>
        <v>Comprador</v>
      </c>
      <c r="G253" s="36" t="str">
        <f>RTD("rtdtrading.rtdserver",, "T&amp;T1", "DAT", 245)</f>
        <v>19:05:47.249</v>
      </c>
      <c r="H253" s="37">
        <f>RTD("rtdtrading.rtdserver",, "T&amp;T1", "PRE", 245)</f>
        <v>7347</v>
      </c>
      <c r="I253" s="38">
        <f>RTD("rtdtrading.rtdserver",, "T&amp;T1", "QUL", 245)</f>
        <v>4</v>
      </c>
      <c r="J253" s="39" t="str">
        <f>RTD("rtdtrading.rtdserver",, "T&amp;T1", "AGR", 245)</f>
        <v>Vendedor</v>
      </c>
    </row>
    <row r="254" spans="1:10" x14ac:dyDescent="0.25">
      <c r="A254" s="44" t="str">
        <f>RTD("rtdtrading.rtdserver",, "T&amp;T0", "DAT", 246)</f>
        <v>19:05:47.249</v>
      </c>
      <c r="B254" s="27">
        <f>RTD("rtdtrading.rtdserver",, "T&amp;T0", "PRE", 246)</f>
        <v>7346.5</v>
      </c>
      <c r="C254" s="28">
        <f>RTD("rtdtrading.rtdserver",, "T&amp;T0", "QUL", 246)</f>
        <v>1</v>
      </c>
      <c r="D254" s="28" t="str">
        <f>RTD("rtdtrading.rtdserver",, "T&amp;T0", "AGR", 246)</f>
        <v>Comprador</v>
      </c>
      <c r="G254" s="36" t="str">
        <f>RTD("rtdtrading.rtdserver",, "T&amp;T1", "DAT", 246)</f>
        <v>19:05:46.595</v>
      </c>
      <c r="H254" s="37">
        <f>RTD("rtdtrading.rtdserver",, "T&amp;T1", "PRE", 246)</f>
        <v>7347.25</v>
      </c>
      <c r="I254" s="38">
        <f>RTD("rtdtrading.rtdserver",, "T&amp;T1", "QUL", 246)</f>
        <v>1</v>
      </c>
      <c r="J254" s="39" t="str">
        <f>RTD("rtdtrading.rtdserver",, "T&amp;T1", "AGR", 246)</f>
        <v>Vendedor</v>
      </c>
    </row>
    <row r="255" spans="1:10" x14ac:dyDescent="0.25">
      <c r="A255" s="44" t="str">
        <f>RTD("rtdtrading.rtdserver",, "T&amp;T0", "DAT", 247)</f>
        <v>19:05:46.594</v>
      </c>
      <c r="B255" s="27">
        <f>RTD("rtdtrading.rtdserver",, "T&amp;T0", "PRE", 247)</f>
        <v>7347.25</v>
      </c>
      <c r="C255" s="28">
        <f>RTD("rtdtrading.rtdserver",, "T&amp;T0", "QUL", 247)</f>
        <v>1</v>
      </c>
      <c r="D255" s="28" t="str">
        <f>RTD("rtdtrading.rtdserver",, "T&amp;T0", "AGR", 247)</f>
        <v>Comprador</v>
      </c>
      <c r="G255" s="36" t="str">
        <f>RTD("rtdtrading.rtdserver",, "T&amp;T1", "DAT", 247)</f>
        <v>19:05:44.458</v>
      </c>
      <c r="H255" s="37">
        <f>RTD("rtdtrading.rtdserver",, "T&amp;T1", "PRE", 247)</f>
        <v>7347</v>
      </c>
      <c r="I255" s="38">
        <f>RTD("rtdtrading.rtdserver",, "T&amp;T1", "QUL", 247)</f>
        <v>1</v>
      </c>
      <c r="J255" s="39" t="str">
        <f>RTD("rtdtrading.rtdserver",, "T&amp;T1", "AGR", 247)</f>
        <v>Vendedor</v>
      </c>
    </row>
    <row r="256" spans="1:10" x14ac:dyDescent="0.25">
      <c r="A256" s="44" t="str">
        <f>RTD("rtdtrading.rtdserver",, "T&amp;T0", "DAT", 248)</f>
        <v>19:05:43.606</v>
      </c>
      <c r="B256" s="27">
        <f>RTD("rtdtrading.rtdserver",, "T&amp;T0", "PRE", 248)</f>
        <v>7347</v>
      </c>
      <c r="C256" s="28">
        <f>RTD("rtdtrading.rtdserver",, "T&amp;T0", "QUL", 248)</f>
        <v>1</v>
      </c>
      <c r="D256" s="28" t="str">
        <f>RTD("rtdtrading.rtdserver",, "T&amp;T0", "AGR", 248)</f>
        <v>Comprador</v>
      </c>
      <c r="G256" s="36" t="str">
        <f>RTD("rtdtrading.rtdserver",, "T&amp;T1", "DAT", 248)</f>
        <v>19:05:43.469</v>
      </c>
      <c r="H256" s="37">
        <f>RTD("rtdtrading.rtdserver",, "T&amp;T1", "PRE", 248)</f>
        <v>7347</v>
      </c>
      <c r="I256" s="38">
        <f>RTD("rtdtrading.rtdserver",, "T&amp;T1", "QUL", 248)</f>
        <v>3</v>
      </c>
      <c r="J256" s="39" t="str">
        <f>RTD("rtdtrading.rtdserver",, "T&amp;T1", "AGR", 248)</f>
        <v>Vendedor</v>
      </c>
    </row>
    <row r="257" spans="1:10" x14ac:dyDescent="0.25">
      <c r="A257" s="44" t="str">
        <f>RTD("rtdtrading.rtdserver",, "T&amp;T0", "DAT", 249)</f>
        <v>19:05:43.367</v>
      </c>
      <c r="B257" s="27">
        <f>RTD("rtdtrading.rtdserver",, "T&amp;T0", "PRE", 249)</f>
        <v>7347.25</v>
      </c>
      <c r="C257" s="28">
        <f>RTD("rtdtrading.rtdserver",, "T&amp;T0", "QUL", 249)</f>
        <v>1</v>
      </c>
      <c r="D257" s="28" t="str">
        <f>RTD("rtdtrading.rtdserver",, "T&amp;T0", "AGR", 249)</f>
        <v>Comprador</v>
      </c>
      <c r="G257" s="36" t="str">
        <f>RTD("rtdtrading.rtdserver",, "T&amp;T1", "DAT", 249)</f>
        <v>19:05:43.469</v>
      </c>
      <c r="H257" s="37">
        <f>RTD("rtdtrading.rtdserver",, "T&amp;T1", "PRE", 249)</f>
        <v>7347</v>
      </c>
      <c r="I257" s="38">
        <f>RTD("rtdtrading.rtdserver",, "T&amp;T1", "QUL", 249)</f>
        <v>1</v>
      </c>
      <c r="J257" s="39" t="str">
        <f>RTD("rtdtrading.rtdserver",, "T&amp;T1", "AGR", 249)</f>
        <v>Vendedor</v>
      </c>
    </row>
    <row r="258" spans="1:10" x14ac:dyDescent="0.25">
      <c r="A258" s="44" t="str">
        <f>RTD("rtdtrading.rtdserver",, "T&amp;T0", "DAT", 250)</f>
        <v>19:05:43.358</v>
      </c>
      <c r="B258" s="27">
        <f>RTD("rtdtrading.rtdserver",, "T&amp;T0", "PRE", 250)</f>
        <v>7347</v>
      </c>
      <c r="C258" s="28">
        <f>RTD("rtdtrading.rtdserver",, "T&amp;T0", "QUL", 250)</f>
        <v>1</v>
      </c>
      <c r="D258" s="28" t="str">
        <f>RTD("rtdtrading.rtdserver",, "T&amp;T0", "AGR", 250)</f>
        <v>Comprador</v>
      </c>
      <c r="G258" s="36" t="str">
        <f>RTD("rtdtrading.rtdserver",, "T&amp;T1", "DAT", 250)</f>
        <v>19:05:42.966</v>
      </c>
      <c r="H258" s="37">
        <f>RTD("rtdtrading.rtdserver",, "T&amp;T1", "PRE", 250)</f>
        <v>7347</v>
      </c>
      <c r="I258" s="38">
        <f>RTD("rtdtrading.rtdserver",, "T&amp;T1", "QUL", 250)</f>
        <v>3</v>
      </c>
      <c r="J258" s="39" t="str">
        <f>RTD("rtdtrading.rtdserver",, "T&amp;T1", "AGR", 250)</f>
        <v>Vendedor</v>
      </c>
    </row>
    <row r="259" spans="1:10" x14ac:dyDescent="0.25">
      <c r="A259" s="44" t="str">
        <f>RTD("rtdtrading.rtdserver",, "T&amp;T0", "DAT", 251)</f>
        <v>19:05:43.358</v>
      </c>
      <c r="B259" s="27">
        <f>RTD("rtdtrading.rtdserver",, "T&amp;T0", "PRE", 251)</f>
        <v>7347</v>
      </c>
      <c r="C259" s="28">
        <f>RTD("rtdtrading.rtdserver",, "T&amp;T0", "QUL", 251)</f>
        <v>3</v>
      </c>
      <c r="D259" s="28" t="str">
        <f>RTD("rtdtrading.rtdserver",, "T&amp;T0", "AGR", 251)</f>
        <v>Comprador</v>
      </c>
      <c r="G259" s="36" t="str">
        <f>RTD("rtdtrading.rtdserver",, "T&amp;T1", "DAT", 251)</f>
        <v>19:05:42.966</v>
      </c>
      <c r="H259" s="37">
        <f>RTD("rtdtrading.rtdserver",, "T&amp;T1", "PRE", 251)</f>
        <v>7347</v>
      </c>
      <c r="I259" s="38">
        <f>RTD("rtdtrading.rtdserver",, "T&amp;T1", "QUL", 251)</f>
        <v>2</v>
      </c>
      <c r="J259" s="39" t="str">
        <f>RTD("rtdtrading.rtdserver",, "T&amp;T1", "AGR", 251)</f>
        <v>Vendedor</v>
      </c>
    </row>
    <row r="260" spans="1:10" x14ac:dyDescent="0.25">
      <c r="A260" s="44" t="str">
        <f>RTD("rtdtrading.rtdserver",, "T&amp;T0", "DAT", 252)</f>
        <v>19:05:41.302</v>
      </c>
      <c r="B260" s="27">
        <f>RTD("rtdtrading.rtdserver",, "T&amp;T0", "PRE", 252)</f>
        <v>7347.25</v>
      </c>
      <c r="C260" s="28">
        <f>RTD("rtdtrading.rtdserver",, "T&amp;T0", "QUL", 252)</f>
        <v>1</v>
      </c>
      <c r="D260" s="28" t="str">
        <f>RTD("rtdtrading.rtdserver",, "T&amp;T0", "AGR", 252)</f>
        <v>Comprador</v>
      </c>
      <c r="G260" s="36" t="str">
        <f>RTD("rtdtrading.rtdserver",, "T&amp;T1", "DAT", 252)</f>
        <v>19:05:42.966</v>
      </c>
      <c r="H260" s="37">
        <f>RTD("rtdtrading.rtdserver",, "T&amp;T1", "PRE", 252)</f>
        <v>7347</v>
      </c>
      <c r="I260" s="38">
        <f>RTD("rtdtrading.rtdserver",, "T&amp;T1", "QUL", 252)</f>
        <v>1</v>
      </c>
      <c r="J260" s="39" t="str">
        <f>RTD("rtdtrading.rtdserver",, "T&amp;T1", "AGR", 252)</f>
        <v>Vendedor</v>
      </c>
    </row>
    <row r="261" spans="1:10" x14ac:dyDescent="0.25">
      <c r="A261" s="44" t="str">
        <f>RTD("rtdtrading.rtdserver",, "T&amp;T0", "DAT", 253)</f>
        <v>19:05:41.049</v>
      </c>
      <c r="B261" s="27">
        <f>RTD("rtdtrading.rtdserver",, "T&amp;T0", "PRE", 253)</f>
        <v>7347.25</v>
      </c>
      <c r="C261" s="28">
        <f>RTD("rtdtrading.rtdserver",, "T&amp;T0", "QUL", 253)</f>
        <v>1</v>
      </c>
      <c r="D261" s="28" t="str">
        <f>RTD("rtdtrading.rtdserver",, "T&amp;T0", "AGR", 253)</f>
        <v>Comprador</v>
      </c>
      <c r="G261" s="36" t="str">
        <f>RTD("rtdtrading.rtdserver",, "T&amp;T1", "DAT", 253)</f>
        <v>19:05:42.503</v>
      </c>
      <c r="H261" s="37">
        <f>RTD("rtdtrading.rtdserver",, "T&amp;T1", "PRE", 253)</f>
        <v>7347.25</v>
      </c>
      <c r="I261" s="38">
        <f>RTD("rtdtrading.rtdserver",, "T&amp;T1", "QUL", 253)</f>
        <v>1</v>
      </c>
      <c r="J261" s="39" t="str">
        <f>RTD("rtdtrading.rtdserver",, "T&amp;T1", "AGR", 253)</f>
        <v>Vendedor</v>
      </c>
    </row>
    <row r="262" spans="1:10" x14ac:dyDescent="0.25">
      <c r="A262" s="44" t="str">
        <f>RTD("rtdtrading.rtdserver",, "T&amp;T0", "DAT", 254)</f>
        <v>19:05:39.002</v>
      </c>
      <c r="B262" s="27">
        <f>RTD("rtdtrading.rtdserver",, "T&amp;T0", "PRE", 254)</f>
        <v>7347.25</v>
      </c>
      <c r="C262" s="28">
        <f>RTD("rtdtrading.rtdserver",, "T&amp;T0", "QUL", 254)</f>
        <v>1</v>
      </c>
      <c r="D262" s="28" t="str">
        <f>RTD("rtdtrading.rtdserver",, "T&amp;T0", "AGR", 254)</f>
        <v>Comprador</v>
      </c>
      <c r="G262" s="36" t="str">
        <f>RTD("rtdtrading.rtdserver",, "T&amp;T1", "DAT", 254)</f>
        <v>19:05:41.289</v>
      </c>
      <c r="H262" s="37">
        <f>RTD("rtdtrading.rtdserver",, "T&amp;T1", "PRE", 254)</f>
        <v>7347.25</v>
      </c>
      <c r="I262" s="38">
        <f>RTD("rtdtrading.rtdserver",, "T&amp;T1", "QUL", 254)</f>
        <v>1</v>
      </c>
      <c r="J262" s="39" t="str">
        <f>RTD("rtdtrading.rtdserver",, "T&amp;T1", "AGR", 254)</f>
        <v>Vendedor</v>
      </c>
    </row>
    <row r="263" spans="1:10" x14ac:dyDescent="0.25">
      <c r="A263" s="44" t="str">
        <f>RTD("rtdtrading.rtdserver",, "T&amp;T0", "DAT", 255)</f>
        <v>19:05:38.180</v>
      </c>
      <c r="B263" s="27">
        <f>RTD("rtdtrading.rtdserver",, "T&amp;T0", "PRE", 255)</f>
        <v>7347.25</v>
      </c>
      <c r="C263" s="28">
        <f>RTD("rtdtrading.rtdserver",, "T&amp;T0", "QUL", 255)</f>
        <v>1</v>
      </c>
      <c r="D263" s="28" t="str">
        <f>RTD("rtdtrading.rtdserver",, "T&amp;T0", "AGR", 255)</f>
        <v>Comprador</v>
      </c>
      <c r="G263" s="36" t="str">
        <f>RTD("rtdtrading.rtdserver",, "T&amp;T1", "DAT", 255)</f>
        <v>19:05:40.776</v>
      </c>
      <c r="H263" s="37">
        <f>RTD("rtdtrading.rtdserver",, "T&amp;T1", "PRE", 255)</f>
        <v>7347</v>
      </c>
      <c r="I263" s="38">
        <f>RTD("rtdtrading.rtdserver",, "T&amp;T1", "QUL", 255)</f>
        <v>1</v>
      </c>
      <c r="J263" s="39" t="str">
        <f>RTD("rtdtrading.rtdserver",, "T&amp;T1", "AGR", 255)</f>
        <v>Vendedor</v>
      </c>
    </row>
    <row r="264" spans="1:10" x14ac:dyDescent="0.25">
      <c r="A264" s="44" t="str">
        <f>RTD("rtdtrading.rtdserver",, "T&amp;T0", "DAT", 256)</f>
        <v>19:05:38.180</v>
      </c>
      <c r="B264" s="27">
        <f>RTD("rtdtrading.rtdserver",, "T&amp;T0", "PRE", 256)</f>
        <v>7347.25</v>
      </c>
      <c r="C264" s="28">
        <f>RTD("rtdtrading.rtdserver",, "T&amp;T0", "QUL", 256)</f>
        <v>1</v>
      </c>
      <c r="D264" s="28" t="str">
        <f>RTD("rtdtrading.rtdserver",, "T&amp;T0", "AGR", 256)</f>
        <v>Comprador</v>
      </c>
      <c r="G264" s="36" t="str">
        <f>RTD("rtdtrading.rtdserver",, "T&amp;T1", "DAT", 256)</f>
        <v>19:05:39.938</v>
      </c>
      <c r="H264" s="37">
        <f>RTD("rtdtrading.rtdserver",, "T&amp;T1", "PRE", 256)</f>
        <v>7347</v>
      </c>
      <c r="I264" s="38">
        <f>RTD("rtdtrading.rtdserver",, "T&amp;T1", "QUL", 256)</f>
        <v>2</v>
      </c>
      <c r="J264" s="39" t="str">
        <f>RTD("rtdtrading.rtdserver",, "T&amp;T1", "AGR", 256)</f>
        <v>Vendedor</v>
      </c>
    </row>
    <row r="265" spans="1:10" x14ac:dyDescent="0.25">
      <c r="A265" s="44" t="str">
        <f>RTD("rtdtrading.rtdserver",, "T&amp;T0", "DAT", 257)</f>
        <v>19:05:37.216</v>
      </c>
      <c r="B265" s="27">
        <f>RTD("rtdtrading.rtdserver",, "T&amp;T0", "PRE", 257)</f>
        <v>7347</v>
      </c>
      <c r="C265" s="28">
        <f>RTD("rtdtrading.rtdserver",, "T&amp;T0", "QUL", 257)</f>
        <v>1</v>
      </c>
      <c r="D265" s="28" t="str">
        <f>RTD("rtdtrading.rtdserver",, "T&amp;T0", "AGR", 257)</f>
        <v>Comprador</v>
      </c>
      <c r="G265" s="36" t="str">
        <f>RTD("rtdtrading.rtdserver",, "T&amp;T1", "DAT", 257)</f>
        <v>19:05:38.941</v>
      </c>
      <c r="H265" s="37">
        <f>RTD("rtdtrading.rtdserver",, "T&amp;T1", "PRE", 257)</f>
        <v>7347.25</v>
      </c>
      <c r="I265" s="38">
        <f>RTD("rtdtrading.rtdserver",, "T&amp;T1", "QUL", 257)</f>
        <v>2</v>
      </c>
      <c r="J265" s="39" t="str">
        <f>RTD("rtdtrading.rtdserver",, "T&amp;T1", "AGR", 257)</f>
        <v>Vendedor</v>
      </c>
    </row>
    <row r="266" spans="1:10" x14ac:dyDescent="0.25">
      <c r="A266" s="44" t="str">
        <f>RTD("rtdtrading.rtdserver",, "T&amp;T0", "DAT", 258)</f>
        <v>19:05:37.216</v>
      </c>
      <c r="B266" s="27">
        <f>RTD("rtdtrading.rtdserver",, "T&amp;T0", "PRE", 258)</f>
        <v>7347</v>
      </c>
      <c r="C266" s="28">
        <f>RTD("rtdtrading.rtdserver",, "T&amp;T0", "QUL", 258)</f>
        <v>1</v>
      </c>
      <c r="D266" s="28" t="str">
        <f>RTD("rtdtrading.rtdserver",, "T&amp;T0", "AGR", 258)</f>
        <v>Comprador</v>
      </c>
      <c r="G266" s="36" t="str">
        <f>RTD("rtdtrading.rtdserver",, "T&amp;T1", "DAT", 258)</f>
        <v>19:05:38.941</v>
      </c>
      <c r="H266" s="37">
        <f>RTD("rtdtrading.rtdserver",, "T&amp;T1", "PRE", 258)</f>
        <v>7347.25</v>
      </c>
      <c r="I266" s="38">
        <f>RTD("rtdtrading.rtdserver",, "T&amp;T1", "QUL", 258)</f>
        <v>2</v>
      </c>
      <c r="J266" s="39" t="str">
        <f>RTD("rtdtrading.rtdserver",, "T&amp;T1", "AGR", 258)</f>
        <v>Vendedor</v>
      </c>
    </row>
    <row r="267" spans="1:10" x14ac:dyDescent="0.25">
      <c r="A267" s="44" t="str">
        <f>RTD("rtdtrading.rtdserver",, "T&amp;T0", "DAT", 259)</f>
        <v>19:05:34.377</v>
      </c>
      <c r="B267" s="27">
        <f>RTD("rtdtrading.rtdserver",, "T&amp;T0", "PRE", 259)</f>
        <v>7347.25</v>
      </c>
      <c r="C267" s="28">
        <f>RTD("rtdtrading.rtdserver",, "T&amp;T0", "QUL", 259)</f>
        <v>1</v>
      </c>
      <c r="D267" s="28" t="str">
        <f>RTD("rtdtrading.rtdserver",, "T&amp;T0", "AGR", 259)</f>
        <v>Comprador</v>
      </c>
      <c r="G267" s="36" t="str">
        <f>RTD("rtdtrading.rtdserver",, "T&amp;T1", "DAT", 259)</f>
        <v>19:05:38.683</v>
      </c>
      <c r="H267" s="37">
        <f>RTD("rtdtrading.rtdserver",, "T&amp;T1", "PRE", 259)</f>
        <v>7347.25</v>
      </c>
      <c r="I267" s="38">
        <f>RTD("rtdtrading.rtdserver",, "T&amp;T1", "QUL", 259)</f>
        <v>1</v>
      </c>
      <c r="J267" s="39" t="str">
        <f>RTD("rtdtrading.rtdserver",, "T&amp;T1", "AGR", 259)</f>
        <v>Vendedor</v>
      </c>
    </row>
    <row r="268" spans="1:10" x14ac:dyDescent="0.25">
      <c r="A268" s="44" t="str">
        <f>RTD("rtdtrading.rtdserver",, "T&amp;T0", "DAT", 260)</f>
        <v>19:05:34.376</v>
      </c>
      <c r="B268" s="27">
        <f>RTD("rtdtrading.rtdserver",, "T&amp;T0", "PRE", 260)</f>
        <v>7347.5</v>
      </c>
      <c r="C268" s="28">
        <f>RTD("rtdtrading.rtdserver",, "T&amp;T0", "QUL", 260)</f>
        <v>2</v>
      </c>
      <c r="D268" s="28" t="str">
        <f>RTD("rtdtrading.rtdserver",, "T&amp;T0", "AGR", 260)</f>
        <v>Comprador</v>
      </c>
      <c r="G268" s="36" t="str">
        <f>RTD("rtdtrading.rtdserver",, "T&amp;T1", "DAT", 260)</f>
        <v>19:05:38.683</v>
      </c>
      <c r="H268" s="37">
        <f>RTD("rtdtrading.rtdserver",, "T&amp;T1", "PRE", 260)</f>
        <v>7347.25</v>
      </c>
      <c r="I268" s="38">
        <f>RTD("rtdtrading.rtdserver",, "T&amp;T1", "QUL", 260)</f>
        <v>1</v>
      </c>
      <c r="J268" s="39" t="str">
        <f>RTD("rtdtrading.rtdserver",, "T&amp;T1", "AGR", 260)</f>
        <v>Vendedor</v>
      </c>
    </row>
    <row r="269" spans="1:10" x14ac:dyDescent="0.25">
      <c r="A269" s="44" t="str">
        <f>RTD("rtdtrading.rtdserver",, "T&amp;T0", "DAT", 261)</f>
        <v>19:05:28.770</v>
      </c>
      <c r="B269" s="27">
        <f>RTD("rtdtrading.rtdserver",, "T&amp;T0", "PRE", 261)</f>
        <v>7348.5</v>
      </c>
      <c r="C269" s="28">
        <f>RTD("rtdtrading.rtdserver",, "T&amp;T0", "QUL", 261)</f>
        <v>1</v>
      </c>
      <c r="D269" s="28" t="str">
        <f>RTD("rtdtrading.rtdserver",, "T&amp;T0", "AGR", 261)</f>
        <v>Comprador</v>
      </c>
      <c r="G269" s="36" t="str">
        <f>RTD("rtdtrading.rtdserver",, "T&amp;T1", "DAT", 261)</f>
        <v>19:05:37.215</v>
      </c>
      <c r="H269" s="37">
        <f>RTD("rtdtrading.rtdserver",, "T&amp;T1", "PRE", 261)</f>
        <v>7347</v>
      </c>
      <c r="I269" s="38">
        <f>RTD("rtdtrading.rtdserver",, "T&amp;T1", "QUL", 261)</f>
        <v>4</v>
      </c>
      <c r="J269" s="39" t="str">
        <f>RTD("rtdtrading.rtdserver",, "T&amp;T1", "AGR", 261)</f>
        <v>Vendedor</v>
      </c>
    </row>
    <row r="270" spans="1:10" x14ac:dyDescent="0.25">
      <c r="A270" s="44" t="str">
        <f>RTD("rtdtrading.rtdserver",, "T&amp;T0", "DAT", 262)</f>
        <v>19:05:28.707</v>
      </c>
      <c r="B270" s="27">
        <f>RTD("rtdtrading.rtdserver",, "T&amp;T0", "PRE", 262)</f>
        <v>7348.25</v>
      </c>
      <c r="C270" s="28">
        <f>RTD("rtdtrading.rtdserver",, "T&amp;T0", "QUL", 262)</f>
        <v>1</v>
      </c>
      <c r="D270" s="28" t="str">
        <f>RTD("rtdtrading.rtdserver",, "T&amp;T0", "AGR", 262)</f>
        <v>Comprador</v>
      </c>
      <c r="G270" s="36" t="str">
        <f>RTD("rtdtrading.rtdserver",, "T&amp;T1", "DAT", 262)</f>
        <v>19:05:37.200</v>
      </c>
      <c r="H270" s="37">
        <f>RTD("rtdtrading.rtdserver",, "T&amp;T1", "PRE", 262)</f>
        <v>7347</v>
      </c>
      <c r="I270" s="38">
        <f>RTD("rtdtrading.rtdserver",, "T&amp;T1", "QUL", 262)</f>
        <v>1</v>
      </c>
      <c r="J270" s="39" t="str">
        <f>RTD("rtdtrading.rtdserver",, "T&amp;T1", "AGR", 262)</f>
        <v>Vendedor</v>
      </c>
    </row>
    <row r="271" spans="1:10" x14ac:dyDescent="0.25">
      <c r="A271" s="44" t="str">
        <f>RTD("rtdtrading.rtdserver",, "T&amp;T0", "DAT", 263)</f>
        <v>19:05:28.426</v>
      </c>
      <c r="B271" s="27">
        <f>RTD("rtdtrading.rtdserver",, "T&amp;T0", "PRE", 263)</f>
        <v>7348.25</v>
      </c>
      <c r="C271" s="28">
        <f>RTD("rtdtrading.rtdserver",, "T&amp;T0", "QUL", 263)</f>
        <v>4</v>
      </c>
      <c r="D271" s="28" t="str">
        <f>RTD("rtdtrading.rtdserver",, "T&amp;T0", "AGR", 263)</f>
        <v>Comprador</v>
      </c>
      <c r="G271" s="36" t="str">
        <f>RTD("rtdtrading.rtdserver",, "T&amp;T1", "DAT", 263)</f>
        <v>19:05:36.162</v>
      </c>
      <c r="H271" s="37">
        <f>RTD("rtdtrading.rtdserver",, "T&amp;T1", "PRE", 263)</f>
        <v>7347.25</v>
      </c>
      <c r="I271" s="38">
        <f>RTD("rtdtrading.rtdserver",, "T&amp;T1", "QUL", 263)</f>
        <v>1</v>
      </c>
      <c r="J271" s="39" t="str">
        <f>RTD("rtdtrading.rtdserver",, "T&amp;T1", "AGR", 263)</f>
        <v>Vendedor</v>
      </c>
    </row>
    <row r="272" spans="1:10" x14ac:dyDescent="0.25">
      <c r="A272" s="44" t="str">
        <f>RTD("rtdtrading.rtdserver",, "T&amp;T0", "DAT", 264)</f>
        <v>19:05:28.278</v>
      </c>
      <c r="B272" s="27">
        <f>RTD("rtdtrading.rtdserver",, "T&amp;T0", "PRE", 264)</f>
        <v>7348</v>
      </c>
      <c r="C272" s="28">
        <f>RTD("rtdtrading.rtdserver",, "T&amp;T0", "QUL", 264)</f>
        <v>1</v>
      </c>
      <c r="D272" s="28" t="str">
        <f>RTD("rtdtrading.rtdserver",, "T&amp;T0", "AGR", 264)</f>
        <v>Comprador</v>
      </c>
      <c r="G272" s="36" t="str">
        <f>RTD("rtdtrading.rtdserver",, "T&amp;T1", "DAT", 264)</f>
        <v>19:05:36.162</v>
      </c>
      <c r="H272" s="37">
        <f>RTD("rtdtrading.rtdserver",, "T&amp;T1", "PRE", 264)</f>
        <v>7347.25</v>
      </c>
      <c r="I272" s="38">
        <f>RTD("rtdtrading.rtdserver",, "T&amp;T1", "QUL", 264)</f>
        <v>1</v>
      </c>
      <c r="J272" s="39" t="str">
        <f>RTD("rtdtrading.rtdserver",, "T&amp;T1", "AGR", 264)</f>
        <v>Vendedor</v>
      </c>
    </row>
    <row r="273" spans="1:10" x14ac:dyDescent="0.25">
      <c r="A273" s="44" t="str">
        <f>RTD("rtdtrading.rtdserver",, "T&amp;T0", "DAT", 265)</f>
        <v>19:05:26.828</v>
      </c>
      <c r="B273" s="27">
        <f>RTD("rtdtrading.rtdserver",, "T&amp;T0", "PRE", 265)</f>
        <v>7347.75</v>
      </c>
      <c r="C273" s="28">
        <f>RTD("rtdtrading.rtdserver",, "T&amp;T0", "QUL", 265)</f>
        <v>1</v>
      </c>
      <c r="D273" s="28" t="str">
        <f>RTD("rtdtrading.rtdserver",, "T&amp;T0", "AGR", 265)</f>
        <v>Comprador</v>
      </c>
      <c r="G273" s="36" t="str">
        <f>RTD("rtdtrading.rtdserver",, "T&amp;T1", "DAT", 265)</f>
        <v>19:05:36.162</v>
      </c>
      <c r="H273" s="37">
        <f>RTD("rtdtrading.rtdserver",, "T&amp;T1", "PRE", 265)</f>
        <v>7347.25</v>
      </c>
      <c r="I273" s="38">
        <f>RTD("rtdtrading.rtdserver",, "T&amp;T1", "QUL", 265)</f>
        <v>1</v>
      </c>
      <c r="J273" s="39" t="str">
        <f>RTD("rtdtrading.rtdserver",, "T&amp;T1", "AGR", 265)</f>
        <v>Vendedor</v>
      </c>
    </row>
    <row r="274" spans="1:10" x14ac:dyDescent="0.25">
      <c r="A274" s="44" t="str">
        <f>RTD("rtdtrading.rtdserver",, "T&amp;T0", "DAT", 266)</f>
        <v>19:05:26.827</v>
      </c>
      <c r="B274" s="27">
        <f>RTD("rtdtrading.rtdserver",, "T&amp;T0", "PRE", 266)</f>
        <v>7347.75</v>
      </c>
      <c r="C274" s="28">
        <f>RTD("rtdtrading.rtdserver",, "T&amp;T0", "QUL", 266)</f>
        <v>2</v>
      </c>
      <c r="D274" s="28" t="str">
        <f>RTD("rtdtrading.rtdserver",, "T&amp;T0", "AGR", 266)</f>
        <v>Comprador</v>
      </c>
      <c r="G274" s="36" t="str">
        <f>RTD("rtdtrading.rtdserver",, "T&amp;T1", "DAT", 266)</f>
        <v>19:05:34.376</v>
      </c>
      <c r="H274" s="37">
        <f>RTD("rtdtrading.rtdserver",, "T&amp;T1", "PRE", 266)</f>
        <v>7347.25</v>
      </c>
      <c r="I274" s="38">
        <f>RTD("rtdtrading.rtdserver",, "T&amp;T1", "QUL", 266)</f>
        <v>2</v>
      </c>
      <c r="J274" s="39" t="str">
        <f>RTD("rtdtrading.rtdserver",, "T&amp;T1", "AGR", 266)</f>
        <v>Vendedor</v>
      </c>
    </row>
    <row r="275" spans="1:10" x14ac:dyDescent="0.25">
      <c r="A275" s="44" t="str">
        <f>RTD("rtdtrading.rtdserver",, "T&amp;T0", "DAT", 267)</f>
        <v>19:05:25.017</v>
      </c>
      <c r="B275" s="27">
        <f>RTD("rtdtrading.rtdserver",, "T&amp;T0", "PRE", 267)</f>
        <v>7348</v>
      </c>
      <c r="C275" s="28">
        <f>RTD("rtdtrading.rtdserver",, "T&amp;T0", "QUL", 267)</f>
        <v>3</v>
      </c>
      <c r="D275" s="28" t="str">
        <f>RTD("rtdtrading.rtdserver",, "T&amp;T0", "AGR", 267)</f>
        <v>Comprador</v>
      </c>
      <c r="G275" s="36" t="str">
        <f>RTD("rtdtrading.rtdserver",, "T&amp;T1", "DAT", 267)</f>
        <v>19:05:34.376</v>
      </c>
      <c r="H275" s="37">
        <f>RTD("rtdtrading.rtdserver",, "T&amp;T1", "PRE", 267)</f>
        <v>7347.25</v>
      </c>
      <c r="I275" s="38">
        <f>RTD("rtdtrading.rtdserver",, "T&amp;T1", "QUL", 267)</f>
        <v>2</v>
      </c>
      <c r="J275" s="39" t="str">
        <f>RTD("rtdtrading.rtdserver",, "T&amp;T1", "AGR", 267)</f>
        <v>Vendedor</v>
      </c>
    </row>
    <row r="276" spans="1:10" x14ac:dyDescent="0.25">
      <c r="A276" s="44" t="str">
        <f>RTD("rtdtrading.rtdserver",, "T&amp;T0", "DAT", 268)</f>
        <v>19:05:25.000</v>
      </c>
      <c r="B276" s="27">
        <f>RTD("rtdtrading.rtdserver",, "T&amp;T0", "PRE", 268)</f>
        <v>7348.25</v>
      </c>
      <c r="C276" s="28">
        <f>RTD("rtdtrading.rtdserver",, "T&amp;T0", "QUL", 268)</f>
        <v>9</v>
      </c>
      <c r="D276" s="28" t="str">
        <f>RTD("rtdtrading.rtdserver",, "T&amp;T0", "AGR", 268)</f>
        <v>Comprador</v>
      </c>
      <c r="G276" s="36" t="str">
        <f>RTD("rtdtrading.rtdserver",, "T&amp;T1", "DAT", 268)</f>
        <v>19:05:32.502</v>
      </c>
      <c r="H276" s="37">
        <f>RTD("rtdtrading.rtdserver",, "T&amp;T1", "PRE", 268)</f>
        <v>7347.25</v>
      </c>
      <c r="I276" s="38">
        <f>RTD("rtdtrading.rtdserver",, "T&amp;T1", "QUL", 268)</f>
        <v>2</v>
      </c>
      <c r="J276" s="39" t="str">
        <f>RTD("rtdtrading.rtdserver",, "T&amp;T1", "AGR", 268)</f>
        <v>Vendedor</v>
      </c>
    </row>
    <row r="277" spans="1:10" x14ac:dyDescent="0.25">
      <c r="A277" s="44" t="str">
        <f>RTD("rtdtrading.rtdserver",, "T&amp;T0", "DAT", 269)</f>
        <v>19:05:25.000</v>
      </c>
      <c r="B277" s="27">
        <f>RTD("rtdtrading.rtdserver",, "T&amp;T0", "PRE", 269)</f>
        <v>7348</v>
      </c>
      <c r="C277" s="28">
        <f>RTD("rtdtrading.rtdserver",, "T&amp;T0", "QUL", 269)</f>
        <v>7</v>
      </c>
      <c r="D277" s="28" t="str">
        <f>RTD("rtdtrading.rtdserver",, "T&amp;T0", "AGR", 269)</f>
        <v>Comprador</v>
      </c>
      <c r="G277" s="36" t="str">
        <f>RTD("rtdtrading.rtdserver",, "T&amp;T1", "DAT", 269)</f>
        <v>19:05:31.806</v>
      </c>
      <c r="H277" s="37">
        <f>RTD("rtdtrading.rtdserver",, "T&amp;T1", "PRE", 269)</f>
        <v>7347.25</v>
      </c>
      <c r="I277" s="38">
        <f>RTD("rtdtrading.rtdserver",, "T&amp;T1", "QUL", 269)</f>
        <v>3</v>
      </c>
      <c r="J277" s="39" t="str">
        <f>RTD("rtdtrading.rtdserver",, "T&amp;T1", "AGR", 269)</f>
        <v>Vendedor</v>
      </c>
    </row>
    <row r="278" spans="1:10" x14ac:dyDescent="0.25">
      <c r="A278" s="44" t="str">
        <f>RTD("rtdtrading.rtdserver",, "T&amp;T0", "DAT", 270)</f>
        <v>19:05:25.000</v>
      </c>
      <c r="B278" s="27">
        <f>RTD("rtdtrading.rtdserver",, "T&amp;T0", "PRE", 270)</f>
        <v>7347.75</v>
      </c>
      <c r="C278" s="28">
        <f>RTD("rtdtrading.rtdserver",, "T&amp;T0", "QUL", 270)</f>
        <v>4</v>
      </c>
      <c r="D278" s="28" t="str">
        <f>RTD("rtdtrading.rtdserver",, "T&amp;T0", "AGR", 270)</f>
        <v>Comprador</v>
      </c>
      <c r="G278" s="36" t="str">
        <f>RTD("rtdtrading.rtdserver",, "T&amp;T1", "DAT", 270)</f>
        <v>19:05:31.806</v>
      </c>
      <c r="H278" s="37">
        <f>RTD("rtdtrading.rtdserver",, "T&amp;T1", "PRE", 270)</f>
        <v>7347.5</v>
      </c>
      <c r="I278" s="38">
        <f>RTD("rtdtrading.rtdserver",, "T&amp;T1", "QUL", 270)</f>
        <v>2</v>
      </c>
      <c r="J278" s="39" t="str">
        <f>RTD("rtdtrading.rtdserver",, "T&amp;T1", "AGR", 270)</f>
        <v>Vendedor</v>
      </c>
    </row>
    <row r="279" spans="1:10" x14ac:dyDescent="0.25">
      <c r="A279" s="44" t="str">
        <f>RTD("rtdtrading.rtdserver",, "T&amp;T0", "DAT", 271)</f>
        <v>19:05:24.719</v>
      </c>
      <c r="B279" s="27">
        <f>RTD("rtdtrading.rtdserver",, "T&amp;T0", "PRE", 271)</f>
        <v>7347.5</v>
      </c>
      <c r="C279" s="28">
        <f>RTD("rtdtrading.rtdserver",, "T&amp;T0", "QUL", 271)</f>
        <v>5</v>
      </c>
      <c r="D279" s="28" t="str">
        <f>RTD("rtdtrading.rtdserver",, "T&amp;T0", "AGR", 271)</f>
        <v>Comprador</v>
      </c>
      <c r="G279" s="36" t="str">
        <f>RTD("rtdtrading.rtdserver",, "T&amp;T1", "DAT", 271)</f>
        <v>19:05:31.618</v>
      </c>
      <c r="H279" s="37">
        <f>RTD("rtdtrading.rtdserver",, "T&amp;T1", "PRE", 271)</f>
        <v>7347.75</v>
      </c>
      <c r="I279" s="38">
        <f>RTD("rtdtrading.rtdserver",, "T&amp;T1", "QUL", 271)</f>
        <v>1</v>
      </c>
      <c r="J279" s="39" t="str">
        <f>RTD("rtdtrading.rtdserver",, "T&amp;T1", "AGR", 271)</f>
        <v>Vendedor</v>
      </c>
    </row>
    <row r="280" spans="1:10" x14ac:dyDescent="0.25">
      <c r="A280" s="44" t="str">
        <f>RTD("rtdtrading.rtdserver",, "T&amp;T0", "DAT", 272)</f>
        <v>19:05:24.719</v>
      </c>
      <c r="B280" s="27">
        <f>RTD("rtdtrading.rtdserver",, "T&amp;T0", "PRE", 272)</f>
        <v>7347.5</v>
      </c>
      <c r="C280" s="28">
        <f>RTD("rtdtrading.rtdserver",, "T&amp;T0", "QUL", 272)</f>
        <v>1</v>
      </c>
      <c r="D280" s="28" t="str">
        <f>RTD("rtdtrading.rtdserver",, "T&amp;T0", "AGR", 272)</f>
        <v>Comprador</v>
      </c>
      <c r="G280" s="36" t="str">
        <f>RTD("rtdtrading.rtdserver",, "T&amp;T1", "DAT", 272)</f>
        <v>19:05:31.567</v>
      </c>
      <c r="H280" s="37">
        <f>RTD("rtdtrading.rtdserver",, "T&amp;T1", "PRE", 272)</f>
        <v>7348</v>
      </c>
      <c r="I280" s="38">
        <f>RTD("rtdtrading.rtdserver",, "T&amp;T1", "QUL", 272)</f>
        <v>3</v>
      </c>
      <c r="J280" s="39" t="str">
        <f>RTD("rtdtrading.rtdserver",, "T&amp;T1", "AGR", 272)</f>
        <v>Vendedor</v>
      </c>
    </row>
    <row r="281" spans="1:10" x14ac:dyDescent="0.25">
      <c r="A281" s="44" t="str">
        <f>RTD("rtdtrading.rtdserver",, "T&amp;T0", "DAT", 273)</f>
        <v>19:05:24.719</v>
      </c>
      <c r="B281" s="27">
        <f>RTD("rtdtrading.rtdserver",, "T&amp;T0", "PRE", 273)</f>
        <v>7347.5</v>
      </c>
      <c r="C281" s="28">
        <f>RTD("rtdtrading.rtdserver",, "T&amp;T0", "QUL", 273)</f>
        <v>1</v>
      </c>
      <c r="D281" s="28" t="str">
        <f>RTD("rtdtrading.rtdserver",, "T&amp;T0", "AGR", 273)</f>
        <v>Comprador</v>
      </c>
      <c r="G281" s="36" t="str">
        <f>RTD("rtdtrading.rtdserver",, "T&amp;T1", "DAT", 273)</f>
        <v>19:05:31.567</v>
      </c>
      <c r="H281" s="37">
        <f>RTD("rtdtrading.rtdserver",, "T&amp;T1", "PRE", 273)</f>
        <v>7348</v>
      </c>
      <c r="I281" s="38">
        <f>RTD("rtdtrading.rtdserver",, "T&amp;T1", "QUL", 273)</f>
        <v>1</v>
      </c>
      <c r="J281" s="39" t="str">
        <f>RTD("rtdtrading.rtdserver",, "T&amp;T1", "AGR", 273)</f>
        <v>Vendedor</v>
      </c>
    </row>
    <row r="282" spans="1:10" x14ac:dyDescent="0.25">
      <c r="A282" s="44" t="str">
        <f>RTD("rtdtrading.rtdserver",, "T&amp;T0", "DAT", 274)</f>
        <v>19:05:24.388</v>
      </c>
      <c r="B282" s="27">
        <f>RTD("rtdtrading.rtdserver",, "T&amp;T0", "PRE", 274)</f>
        <v>7347.25</v>
      </c>
      <c r="C282" s="28">
        <f>RTD("rtdtrading.rtdserver",, "T&amp;T0", "QUL", 274)</f>
        <v>2</v>
      </c>
      <c r="D282" s="28" t="str">
        <f>RTD("rtdtrading.rtdserver",, "T&amp;T0", "AGR", 274)</f>
        <v>Comprador</v>
      </c>
      <c r="G282" s="36" t="str">
        <f>RTD("rtdtrading.rtdserver",, "T&amp;T1", "DAT", 274)</f>
        <v>19:05:31.153</v>
      </c>
      <c r="H282" s="37">
        <f>RTD("rtdtrading.rtdserver",, "T&amp;T1", "PRE", 274)</f>
        <v>7348.25</v>
      </c>
      <c r="I282" s="38">
        <f>RTD("rtdtrading.rtdserver",, "T&amp;T1", "QUL", 274)</f>
        <v>1</v>
      </c>
      <c r="J282" s="39" t="str">
        <f>RTD("rtdtrading.rtdserver",, "T&amp;T1", "AGR", 274)</f>
        <v>Vendedor</v>
      </c>
    </row>
    <row r="283" spans="1:10" x14ac:dyDescent="0.25">
      <c r="A283" s="44" t="str">
        <f>RTD("rtdtrading.rtdserver",, "T&amp;T0", "DAT", 275)</f>
        <v>19:05:23.276</v>
      </c>
      <c r="B283" s="27">
        <f>RTD("rtdtrading.rtdserver",, "T&amp;T0", "PRE", 275)</f>
        <v>7347.25</v>
      </c>
      <c r="C283" s="28">
        <f>RTD("rtdtrading.rtdserver",, "T&amp;T0", "QUL", 275)</f>
        <v>2</v>
      </c>
      <c r="D283" s="28" t="str">
        <f>RTD("rtdtrading.rtdserver",, "T&amp;T0", "AGR", 275)</f>
        <v>Comprador</v>
      </c>
      <c r="G283" s="36" t="str">
        <f>RTD("rtdtrading.rtdserver",, "T&amp;T1", "DAT", 275)</f>
        <v>19:05:31.152</v>
      </c>
      <c r="H283" s="37">
        <f>RTD("rtdtrading.rtdserver",, "T&amp;T1", "PRE", 275)</f>
        <v>7348.25</v>
      </c>
      <c r="I283" s="38">
        <f>RTD("rtdtrading.rtdserver",, "T&amp;T1", "QUL", 275)</f>
        <v>1</v>
      </c>
      <c r="J283" s="39" t="str">
        <f>RTD("rtdtrading.rtdserver",, "T&amp;T1", "AGR", 275)</f>
        <v>Vendedor</v>
      </c>
    </row>
    <row r="284" spans="1:10" x14ac:dyDescent="0.25">
      <c r="A284" s="44" t="str">
        <f>RTD("rtdtrading.rtdserver",, "T&amp;T0", "DAT", 276)</f>
        <v>19:05:22.046</v>
      </c>
      <c r="B284" s="27">
        <f>RTD("rtdtrading.rtdserver",, "T&amp;T0", "PRE", 276)</f>
        <v>7347.25</v>
      </c>
      <c r="C284" s="28">
        <f>RTD("rtdtrading.rtdserver",, "T&amp;T0", "QUL", 276)</f>
        <v>1</v>
      </c>
      <c r="D284" s="28" t="str">
        <f>RTD("rtdtrading.rtdserver",, "T&amp;T0", "AGR", 276)</f>
        <v>Comprador</v>
      </c>
      <c r="G284" s="36" t="str">
        <f>RTD("rtdtrading.rtdserver",, "T&amp;T1", "DAT", 276)</f>
        <v>19:05:28.277</v>
      </c>
      <c r="H284" s="37">
        <f>RTD("rtdtrading.rtdserver",, "T&amp;T1", "PRE", 276)</f>
        <v>7347.75</v>
      </c>
      <c r="I284" s="38">
        <f>RTD("rtdtrading.rtdserver",, "T&amp;T1", "QUL", 276)</f>
        <v>1</v>
      </c>
      <c r="J284" s="39" t="str">
        <f>RTD("rtdtrading.rtdserver",, "T&amp;T1", "AGR", 276)</f>
        <v>Vendedor</v>
      </c>
    </row>
    <row r="285" spans="1:10" x14ac:dyDescent="0.25">
      <c r="A285" s="44" t="str">
        <f>RTD("rtdtrading.rtdserver",, "T&amp;T0", "DAT", 277)</f>
        <v>19:05:19.892</v>
      </c>
      <c r="B285" s="27">
        <f>RTD("rtdtrading.rtdserver",, "T&amp;T0", "PRE", 277)</f>
        <v>7347.5</v>
      </c>
      <c r="C285" s="28">
        <f>RTD("rtdtrading.rtdserver",, "T&amp;T0", "QUL", 277)</f>
        <v>1</v>
      </c>
      <c r="D285" s="28" t="str">
        <f>RTD("rtdtrading.rtdserver",, "T&amp;T0", "AGR", 277)</f>
        <v>Comprador</v>
      </c>
      <c r="G285" s="36" t="str">
        <f>RTD("rtdtrading.rtdserver",, "T&amp;T1", "DAT", 277)</f>
        <v>19:05:27.186</v>
      </c>
      <c r="H285" s="37">
        <f>RTD("rtdtrading.rtdserver",, "T&amp;T1", "PRE", 277)</f>
        <v>7348</v>
      </c>
      <c r="I285" s="38">
        <f>RTD("rtdtrading.rtdserver",, "T&amp;T1", "QUL", 277)</f>
        <v>1</v>
      </c>
      <c r="J285" s="39" t="str">
        <f>RTD("rtdtrading.rtdserver",, "T&amp;T1", "AGR", 277)</f>
        <v>Vendedor</v>
      </c>
    </row>
    <row r="286" spans="1:10" x14ac:dyDescent="0.25">
      <c r="A286" s="44" t="str">
        <f>RTD("rtdtrading.rtdserver",, "T&amp;T0", "DAT", 278)</f>
        <v>19:05:18.770</v>
      </c>
      <c r="B286" s="27">
        <f>RTD("rtdtrading.rtdserver",, "T&amp;T0", "PRE", 278)</f>
        <v>7347.5</v>
      </c>
      <c r="C286" s="28">
        <f>RTD("rtdtrading.rtdserver",, "T&amp;T0", "QUL", 278)</f>
        <v>1</v>
      </c>
      <c r="D286" s="28" t="str">
        <f>RTD("rtdtrading.rtdserver",, "T&amp;T0", "AGR", 278)</f>
        <v>Comprador</v>
      </c>
      <c r="G286" s="36" t="str">
        <f>RTD("rtdtrading.rtdserver",, "T&amp;T1", "DAT", 278)</f>
        <v>19:05:27.186</v>
      </c>
      <c r="H286" s="37">
        <f>RTD("rtdtrading.rtdserver",, "T&amp;T1", "PRE", 278)</f>
        <v>7348</v>
      </c>
      <c r="I286" s="38">
        <f>RTD("rtdtrading.rtdserver",, "T&amp;T1", "QUL", 278)</f>
        <v>1</v>
      </c>
      <c r="J286" s="39" t="str">
        <f>RTD("rtdtrading.rtdserver",, "T&amp;T1", "AGR", 278)</f>
        <v>Vendedor</v>
      </c>
    </row>
    <row r="287" spans="1:10" x14ac:dyDescent="0.25">
      <c r="A287" s="44" t="str">
        <f>RTD("rtdtrading.rtdserver",, "T&amp;T0", "DAT", 279)</f>
        <v>19:05:18.473</v>
      </c>
      <c r="B287" s="27">
        <f>RTD("rtdtrading.rtdserver",, "T&amp;T0", "PRE", 279)</f>
        <v>7347.5</v>
      </c>
      <c r="C287" s="28">
        <f>RTD("rtdtrading.rtdserver",, "T&amp;T0", "QUL", 279)</f>
        <v>2</v>
      </c>
      <c r="D287" s="28" t="str">
        <f>RTD("rtdtrading.rtdserver",, "T&amp;T0", "AGR", 279)</f>
        <v>Comprador</v>
      </c>
      <c r="G287" s="36" t="str">
        <f>RTD("rtdtrading.rtdserver",, "T&amp;T1", "DAT", 279)</f>
        <v>19:05:26.827</v>
      </c>
      <c r="H287" s="37">
        <f>RTD("rtdtrading.rtdserver",, "T&amp;T1", "PRE", 279)</f>
        <v>7347.75</v>
      </c>
      <c r="I287" s="38">
        <f>RTD("rtdtrading.rtdserver",, "T&amp;T1", "QUL", 279)</f>
        <v>1</v>
      </c>
      <c r="J287" s="39" t="str">
        <f>RTD("rtdtrading.rtdserver",, "T&amp;T1", "AGR", 279)</f>
        <v>Vendedor</v>
      </c>
    </row>
    <row r="288" spans="1:10" x14ac:dyDescent="0.25">
      <c r="A288" s="44" t="str">
        <f>RTD("rtdtrading.rtdserver",, "T&amp;T0", "DAT", 280)</f>
        <v>19:05:18.141</v>
      </c>
      <c r="B288" s="27">
        <f>RTD("rtdtrading.rtdserver",, "T&amp;T0", "PRE", 280)</f>
        <v>7347.5</v>
      </c>
      <c r="C288" s="28">
        <f>RTD("rtdtrading.rtdserver",, "T&amp;T0", "QUL", 280)</f>
        <v>1</v>
      </c>
      <c r="D288" s="28" t="str">
        <f>RTD("rtdtrading.rtdserver",, "T&amp;T0", "AGR", 280)</f>
        <v>Comprador</v>
      </c>
      <c r="G288" s="36" t="str">
        <f>RTD("rtdtrading.rtdserver",, "T&amp;T1", "DAT", 280)</f>
        <v>19:05:25.001</v>
      </c>
      <c r="H288" s="37">
        <f>RTD("rtdtrading.rtdserver",, "T&amp;T1", "PRE", 280)</f>
        <v>7348</v>
      </c>
      <c r="I288" s="38">
        <f>RTD("rtdtrading.rtdserver",, "T&amp;T1", "QUL", 280)</f>
        <v>1</v>
      </c>
      <c r="J288" s="39" t="str">
        <f>RTD("rtdtrading.rtdserver",, "T&amp;T1", "AGR", 280)</f>
        <v>Vendedor</v>
      </c>
    </row>
    <row r="289" spans="1:10" x14ac:dyDescent="0.25">
      <c r="A289" s="44" t="str">
        <f>RTD("rtdtrading.rtdserver",, "T&amp;T0", "DAT", 281)</f>
        <v>19:05:16.367</v>
      </c>
      <c r="B289" s="27">
        <f>RTD("rtdtrading.rtdserver",, "T&amp;T0", "PRE", 281)</f>
        <v>7347.5</v>
      </c>
      <c r="C289" s="28">
        <f>RTD("rtdtrading.rtdserver",, "T&amp;T0", "QUL", 281)</f>
        <v>1</v>
      </c>
      <c r="D289" s="28" t="str">
        <f>RTD("rtdtrading.rtdserver",, "T&amp;T0", "AGR", 281)</f>
        <v>Comprador</v>
      </c>
      <c r="G289" s="36" t="str">
        <f>RTD("rtdtrading.rtdserver",, "T&amp;T1", "DAT", 281)</f>
        <v>19:05:25.001</v>
      </c>
      <c r="H289" s="37">
        <f>RTD("rtdtrading.rtdserver",, "T&amp;T1", "PRE", 281)</f>
        <v>7348</v>
      </c>
      <c r="I289" s="38">
        <f>RTD("rtdtrading.rtdserver",, "T&amp;T1", "QUL", 281)</f>
        <v>3</v>
      </c>
      <c r="J289" s="39" t="str">
        <f>RTD("rtdtrading.rtdserver",, "T&amp;T1", "AGR", 281)</f>
        <v>Vendedor</v>
      </c>
    </row>
    <row r="290" spans="1:10" x14ac:dyDescent="0.25">
      <c r="A290" s="44" t="str">
        <f>RTD("rtdtrading.rtdserver",, "T&amp;T0", "DAT", 282)</f>
        <v>19:05:15.766</v>
      </c>
      <c r="B290" s="27">
        <f>RTD("rtdtrading.rtdserver",, "T&amp;T0", "PRE", 282)</f>
        <v>7347.5</v>
      </c>
      <c r="C290" s="28">
        <f>RTD("rtdtrading.rtdserver",, "T&amp;T0", "QUL", 282)</f>
        <v>1</v>
      </c>
      <c r="D290" s="28" t="str">
        <f>RTD("rtdtrading.rtdserver",, "T&amp;T0", "AGR", 282)</f>
        <v>Comprador</v>
      </c>
      <c r="G290" s="36" t="str">
        <f>RTD("rtdtrading.rtdserver",, "T&amp;T1", "DAT", 282)</f>
        <v>19:05:24.421</v>
      </c>
      <c r="H290" s="37">
        <f>RTD("rtdtrading.rtdserver",, "T&amp;T1", "PRE", 282)</f>
        <v>7347.25</v>
      </c>
      <c r="I290" s="38">
        <f>RTD("rtdtrading.rtdserver",, "T&amp;T1", "QUL", 282)</f>
        <v>1</v>
      </c>
      <c r="J290" s="39" t="str">
        <f>RTD("rtdtrading.rtdserver",, "T&amp;T1", "AGR", 282)</f>
        <v>Vendedor</v>
      </c>
    </row>
    <row r="291" spans="1:10" x14ac:dyDescent="0.25">
      <c r="A291" s="44" t="str">
        <f>RTD("rtdtrading.rtdserver",, "T&amp;T0", "DAT", 283)</f>
        <v>19:05:15.645</v>
      </c>
      <c r="B291" s="27">
        <f>RTD("rtdtrading.rtdserver",, "T&amp;T0", "PRE", 283)</f>
        <v>7347.25</v>
      </c>
      <c r="C291" s="28">
        <f>RTD("rtdtrading.rtdserver",, "T&amp;T0", "QUL", 283)</f>
        <v>3</v>
      </c>
      <c r="D291" s="28" t="str">
        <f>RTD("rtdtrading.rtdserver",, "T&amp;T0", "AGR", 283)</f>
        <v>Comprador</v>
      </c>
      <c r="G291" s="36" t="str">
        <f>RTD("rtdtrading.rtdserver",, "T&amp;T1", "DAT", 283)</f>
        <v>19:05:24.420</v>
      </c>
      <c r="H291" s="37">
        <f>RTD("rtdtrading.rtdserver",, "T&amp;T1", "PRE", 283)</f>
        <v>7347.25</v>
      </c>
      <c r="I291" s="38">
        <f>RTD("rtdtrading.rtdserver",, "T&amp;T1", "QUL", 283)</f>
        <v>1</v>
      </c>
      <c r="J291" s="39" t="str">
        <f>RTD("rtdtrading.rtdserver",, "T&amp;T1", "AGR", 283)</f>
        <v>Vendedor</v>
      </c>
    </row>
    <row r="292" spans="1:10" x14ac:dyDescent="0.25">
      <c r="A292" s="44" t="str">
        <f>RTD("rtdtrading.rtdserver",, "T&amp;T0", "DAT", 284)</f>
        <v>19:05:15.242</v>
      </c>
      <c r="B292" s="27">
        <f>RTD("rtdtrading.rtdserver",, "T&amp;T0", "PRE", 284)</f>
        <v>7347</v>
      </c>
      <c r="C292" s="28">
        <f>RTD("rtdtrading.rtdserver",, "T&amp;T0", "QUL", 284)</f>
        <v>1</v>
      </c>
      <c r="D292" s="28" t="str">
        <f>RTD("rtdtrading.rtdserver",, "T&amp;T0", "AGR", 284)</f>
        <v>Comprador</v>
      </c>
      <c r="G292" s="36" t="str">
        <f>RTD("rtdtrading.rtdserver",, "T&amp;T1", "DAT", 284)</f>
        <v>19:05:24.420</v>
      </c>
      <c r="H292" s="37">
        <f>RTD("rtdtrading.rtdserver",, "T&amp;T1", "PRE", 284)</f>
        <v>7347.25</v>
      </c>
      <c r="I292" s="38">
        <f>RTD("rtdtrading.rtdserver",, "T&amp;T1", "QUL", 284)</f>
        <v>1</v>
      </c>
      <c r="J292" s="39" t="str">
        <f>RTD("rtdtrading.rtdserver",, "T&amp;T1", "AGR", 284)</f>
        <v>Vendedor</v>
      </c>
    </row>
    <row r="293" spans="1:10" x14ac:dyDescent="0.25">
      <c r="A293" s="44" t="str">
        <f>RTD("rtdtrading.rtdserver",, "T&amp;T0", "DAT", 285)</f>
        <v>19:05:15.146</v>
      </c>
      <c r="B293" s="27">
        <f>RTD("rtdtrading.rtdserver",, "T&amp;T0", "PRE", 285)</f>
        <v>7347.25</v>
      </c>
      <c r="C293" s="28">
        <f>RTD("rtdtrading.rtdserver",, "T&amp;T0", "QUL", 285)</f>
        <v>1</v>
      </c>
      <c r="D293" s="28" t="str">
        <f>RTD("rtdtrading.rtdserver",, "T&amp;T0", "AGR", 285)</f>
        <v>Comprador</v>
      </c>
      <c r="G293" s="36" t="str">
        <f>RTD("rtdtrading.rtdserver",, "T&amp;T1", "DAT", 285)</f>
        <v>19:05:24.389</v>
      </c>
      <c r="H293" s="37">
        <f>RTD("rtdtrading.rtdserver",, "T&amp;T1", "PRE", 285)</f>
        <v>7347.25</v>
      </c>
      <c r="I293" s="38">
        <f>RTD("rtdtrading.rtdserver",, "T&amp;T1", "QUL", 285)</f>
        <v>1</v>
      </c>
      <c r="J293" s="39" t="str">
        <f>RTD("rtdtrading.rtdserver",, "T&amp;T1", "AGR", 285)</f>
        <v>Vendedor</v>
      </c>
    </row>
    <row r="294" spans="1:10" x14ac:dyDescent="0.25">
      <c r="A294" s="44" t="str">
        <f>RTD("rtdtrading.rtdserver",, "T&amp;T0", "DAT", 286)</f>
        <v>19:05:14.980</v>
      </c>
      <c r="B294" s="27">
        <f>RTD("rtdtrading.rtdserver",, "T&amp;T0", "PRE", 286)</f>
        <v>7347.25</v>
      </c>
      <c r="C294" s="28">
        <f>RTD("rtdtrading.rtdserver",, "T&amp;T0", "QUL", 286)</f>
        <v>1</v>
      </c>
      <c r="D294" s="28" t="str">
        <f>RTD("rtdtrading.rtdserver",, "T&amp;T0", "AGR", 286)</f>
        <v>Comprador</v>
      </c>
      <c r="G294" s="36" t="str">
        <f>RTD("rtdtrading.rtdserver",, "T&amp;T1", "DAT", 286)</f>
        <v>19:05:24.388</v>
      </c>
      <c r="H294" s="37">
        <f>RTD("rtdtrading.rtdserver",, "T&amp;T1", "PRE", 286)</f>
        <v>7347.25</v>
      </c>
      <c r="I294" s="38">
        <f>RTD("rtdtrading.rtdserver",, "T&amp;T1", "QUL", 286)</f>
        <v>1</v>
      </c>
      <c r="J294" s="39" t="str">
        <f>RTD("rtdtrading.rtdserver",, "T&amp;T1", "AGR", 286)</f>
        <v>Vendedor</v>
      </c>
    </row>
    <row r="295" spans="1:10" x14ac:dyDescent="0.25">
      <c r="A295" s="44" t="str">
        <f>RTD("rtdtrading.rtdserver",, "T&amp;T0", "DAT", 287)</f>
        <v>19:05:11.122</v>
      </c>
      <c r="B295" s="27">
        <f>RTD("rtdtrading.rtdserver",, "T&amp;T0", "PRE", 287)</f>
        <v>7347</v>
      </c>
      <c r="C295" s="28">
        <f>RTD("rtdtrading.rtdserver",, "T&amp;T0", "QUL", 287)</f>
        <v>1</v>
      </c>
      <c r="D295" s="28" t="str">
        <f>RTD("rtdtrading.rtdserver",, "T&amp;T0", "AGR", 287)</f>
        <v>Comprador</v>
      </c>
      <c r="G295" s="36" t="str">
        <f>RTD("rtdtrading.rtdserver",, "T&amp;T1", "DAT", 287)</f>
        <v>19:05:23.276</v>
      </c>
      <c r="H295" s="37">
        <f>RTD("rtdtrading.rtdserver",, "T&amp;T1", "PRE", 287)</f>
        <v>7347.25</v>
      </c>
      <c r="I295" s="38">
        <f>RTD("rtdtrading.rtdserver",, "T&amp;T1", "QUL", 287)</f>
        <v>1</v>
      </c>
      <c r="J295" s="39" t="str">
        <f>RTD("rtdtrading.rtdserver",, "T&amp;T1", "AGR", 287)</f>
        <v>Vendedor</v>
      </c>
    </row>
    <row r="296" spans="1:10" x14ac:dyDescent="0.25">
      <c r="A296" s="44" t="str">
        <f>RTD("rtdtrading.rtdserver",, "T&amp;T0", "DAT", 288)</f>
        <v>19:05:11.121</v>
      </c>
      <c r="B296" s="27">
        <f>RTD("rtdtrading.rtdserver",, "T&amp;T0", "PRE", 288)</f>
        <v>7347</v>
      </c>
      <c r="C296" s="28">
        <f>RTD("rtdtrading.rtdserver",, "T&amp;T0", "QUL", 288)</f>
        <v>1</v>
      </c>
      <c r="D296" s="28" t="str">
        <f>RTD("rtdtrading.rtdserver",, "T&amp;T0", "AGR", 288)</f>
        <v>Comprador</v>
      </c>
      <c r="G296" s="36" t="str">
        <f>RTD("rtdtrading.rtdserver",, "T&amp;T1", "DAT", 288)</f>
        <v>19:05:22.537</v>
      </c>
      <c r="H296" s="37">
        <f>RTD("rtdtrading.rtdserver",, "T&amp;T1", "PRE", 288)</f>
        <v>7347</v>
      </c>
      <c r="I296" s="38">
        <f>RTD("rtdtrading.rtdserver",, "T&amp;T1", "QUL", 288)</f>
        <v>1</v>
      </c>
      <c r="J296" s="39" t="str">
        <f>RTD("rtdtrading.rtdserver",, "T&amp;T1", "AGR", 288)</f>
        <v>Vendedor</v>
      </c>
    </row>
    <row r="297" spans="1:10" x14ac:dyDescent="0.25">
      <c r="A297" s="44" t="str">
        <f>RTD("rtdtrading.rtdserver",, "T&amp;T0", "DAT", 289)</f>
        <v>19:05:09.716</v>
      </c>
      <c r="B297" s="27">
        <f>RTD("rtdtrading.rtdserver",, "T&amp;T0", "PRE", 289)</f>
        <v>7347.5</v>
      </c>
      <c r="C297" s="28">
        <f>RTD("rtdtrading.rtdserver",, "T&amp;T0", "QUL", 289)</f>
        <v>2</v>
      </c>
      <c r="D297" s="28" t="str">
        <f>RTD("rtdtrading.rtdserver",, "T&amp;T0", "AGR", 289)</f>
        <v>Comprador</v>
      </c>
      <c r="G297" s="36" t="str">
        <f>RTD("rtdtrading.rtdserver",, "T&amp;T1", "DAT", 289)</f>
        <v>19:05:20.222</v>
      </c>
      <c r="H297" s="37">
        <f>RTD("rtdtrading.rtdserver",, "T&amp;T1", "PRE", 289)</f>
        <v>7347</v>
      </c>
      <c r="I297" s="38">
        <f>RTD("rtdtrading.rtdserver",, "T&amp;T1", "QUL", 289)</f>
        <v>1</v>
      </c>
      <c r="J297" s="39" t="str">
        <f>RTD("rtdtrading.rtdserver",, "T&amp;T1", "AGR", 289)</f>
        <v>Vendedor</v>
      </c>
    </row>
    <row r="298" spans="1:10" x14ac:dyDescent="0.25">
      <c r="A298" s="44" t="str">
        <f>RTD("rtdtrading.rtdserver",, "T&amp;T0", "DAT", 290)</f>
        <v>19:05:09.292</v>
      </c>
      <c r="B298" s="27">
        <f>RTD("rtdtrading.rtdserver",, "T&amp;T0", "PRE", 290)</f>
        <v>7347.75</v>
      </c>
      <c r="C298" s="28">
        <f>RTD("rtdtrading.rtdserver",, "T&amp;T0", "QUL", 290)</f>
        <v>1</v>
      </c>
      <c r="D298" s="28" t="str">
        <f>RTD("rtdtrading.rtdserver",, "T&amp;T0", "AGR", 290)</f>
        <v>Comprador</v>
      </c>
      <c r="G298" s="36" t="str">
        <f>RTD("rtdtrading.rtdserver",, "T&amp;T1", "DAT", 290)</f>
        <v>19:05:19.916</v>
      </c>
      <c r="H298" s="37">
        <f>RTD("rtdtrading.rtdserver",, "T&amp;T1", "PRE", 290)</f>
        <v>7347</v>
      </c>
      <c r="I298" s="38">
        <f>RTD("rtdtrading.rtdserver",, "T&amp;T1", "QUL", 290)</f>
        <v>1</v>
      </c>
      <c r="J298" s="39" t="str">
        <f>RTD("rtdtrading.rtdserver",, "T&amp;T1", "AGR", 290)</f>
        <v>Vendedor</v>
      </c>
    </row>
    <row r="299" spans="1:10" x14ac:dyDescent="0.25">
      <c r="A299" s="44" t="str">
        <f>RTD("rtdtrading.rtdserver",, "T&amp;T0", "DAT", 291)</f>
        <v>19:05:09.292</v>
      </c>
      <c r="B299" s="27">
        <f>RTD("rtdtrading.rtdserver",, "T&amp;T0", "PRE", 291)</f>
        <v>7347.5</v>
      </c>
      <c r="C299" s="28">
        <f>RTD("rtdtrading.rtdserver",, "T&amp;T0", "QUL", 291)</f>
        <v>2</v>
      </c>
      <c r="D299" s="28" t="str">
        <f>RTD("rtdtrading.rtdserver",, "T&amp;T0", "AGR", 291)</f>
        <v>Comprador</v>
      </c>
      <c r="G299" s="36" t="str">
        <f>RTD("rtdtrading.rtdserver",, "T&amp;T1", "DAT", 291)</f>
        <v>19:05:19.891</v>
      </c>
      <c r="H299" s="37">
        <f>RTD("rtdtrading.rtdserver",, "T&amp;T1", "PRE", 291)</f>
        <v>7347.5</v>
      </c>
      <c r="I299" s="38">
        <f>RTD("rtdtrading.rtdserver",, "T&amp;T1", "QUL", 291)</f>
        <v>7</v>
      </c>
      <c r="J299" s="39" t="str">
        <f>RTD("rtdtrading.rtdserver",, "T&amp;T1", "AGR", 291)</f>
        <v>Vendedor</v>
      </c>
    </row>
    <row r="300" spans="1:10" x14ac:dyDescent="0.25">
      <c r="A300" s="44" t="str">
        <f>RTD("rtdtrading.rtdserver",, "T&amp;T0", "DAT", 292)</f>
        <v>19:05:08.268</v>
      </c>
      <c r="B300" s="27">
        <f>RTD("rtdtrading.rtdserver",, "T&amp;T0", "PRE", 292)</f>
        <v>7347.75</v>
      </c>
      <c r="C300" s="28">
        <f>RTD("rtdtrading.rtdserver",, "T&amp;T0", "QUL", 292)</f>
        <v>2</v>
      </c>
      <c r="D300" s="28" t="str">
        <f>RTD("rtdtrading.rtdserver",, "T&amp;T0", "AGR", 292)</f>
        <v>Comprador</v>
      </c>
      <c r="G300" s="36" t="str">
        <f>RTD("rtdtrading.rtdserver",, "T&amp;T1", "DAT", 292)</f>
        <v>19:05:19.528</v>
      </c>
      <c r="H300" s="37">
        <f>RTD("rtdtrading.rtdserver",, "T&amp;T1", "PRE", 292)</f>
        <v>7347.5</v>
      </c>
      <c r="I300" s="38">
        <f>RTD("rtdtrading.rtdserver",, "T&amp;T1", "QUL", 292)</f>
        <v>1</v>
      </c>
      <c r="J300" s="39" t="str">
        <f>RTD("rtdtrading.rtdserver",, "T&amp;T1", "AGR", 292)</f>
        <v>Vendedor</v>
      </c>
    </row>
    <row r="301" spans="1:10" x14ac:dyDescent="0.25">
      <c r="A301" s="44" t="str">
        <f>RTD("rtdtrading.rtdserver",, "T&amp;T0", "DAT", 293)</f>
        <v>19:05:08.167</v>
      </c>
      <c r="B301" s="27">
        <f>RTD("rtdtrading.rtdserver",, "T&amp;T0", "PRE", 293)</f>
        <v>7348</v>
      </c>
      <c r="C301" s="28">
        <f>RTD("rtdtrading.rtdserver",, "T&amp;T0", "QUL", 293)</f>
        <v>2</v>
      </c>
      <c r="D301" s="28" t="str">
        <f>RTD("rtdtrading.rtdserver",, "T&amp;T0", "AGR", 293)</f>
        <v>Comprador</v>
      </c>
      <c r="G301" s="36" t="str">
        <f>RTD("rtdtrading.rtdserver",, "T&amp;T1", "DAT", 293)</f>
        <v>19:05:18.666</v>
      </c>
      <c r="H301" s="37">
        <f>RTD("rtdtrading.rtdserver",, "T&amp;T1", "PRE", 293)</f>
        <v>7347.5</v>
      </c>
      <c r="I301" s="38">
        <f>RTD("rtdtrading.rtdserver",, "T&amp;T1", "QUL", 293)</f>
        <v>2</v>
      </c>
      <c r="J301" s="39" t="str">
        <f>RTD("rtdtrading.rtdserver",, "T&amp;T1", "AGR", 293)</f>
        <v>Vendedor</v>
      </c>
    </row>
    <row r="302" spans="1:10" x14ac:dyDescent="0.25">
      <c r="A302" s="44" t="str">
        <f>RTD("rtdtrading.rtdserver",, "T&amp;T0", "DAT", 294)</f>
        <v>19:05:07.925</v>
      </c>
      <c r="B302" s="27">
        <f>RTD("rtdtrading.rtdserver",, "T&amp;T0", "PRE", 294)</f>
        <v>7348</v>
      </c>
      <c r="C302" s="28">
        <f>RTD("rtdtrading.rtdserver",, "T&amp;T0", "QUL", 294)</f>
        <v>1</v>
      </c>
      <c r="D302" s="28" t="str">
        <f>RTD("rtdtrading.rtdserver",, "T&amp;T0", "AGR", 294)</f>
        <v>Comprador</v>
      </c>
      <c r="G302" s="36" t="str">
        <f>RTD("rtdtrading.rtdserver",, "T&amp;T1", "DAT", 294)</f>
        <v>19:05:18.473</v>
      </c>
      <c r="H302" s="37">
        <f>RTD("rtdtrading.rtdserver",, "T&amp;T1", "PRE", 294)</f>
        <v>7347.5</v>
      </c>
      <c r="I302" s="38">
        <f>RTD("rtdtrading.rtdserver",, "T&amp;T1", "QUL", 294)</f>
        <v>1</v>
      </c>
      <c r="J302" s="39" t="str">
        <f>RTD("rtdtrading.rtdserver",, "T&amp;T1", "AGR", 294)</f>
        <v>Vendedor</v>
      </c>
    </row>
    <row r="303" spans="1:10" x14ac:dyDescent="0.25">
      <c r="A303" s="44" t="str">
        <f>RTD("rtdtrading.rtdserver",, "T&amp;T0", "DAT", 295)</f>
        <v>19:05:07.086</v>
      </c>
      <c r="B303" s="27">
        <f>RTD("rtdtrading.rtdserver",, "T&amp;T0", "PRE", 295)</f>
        <v>7348.5</v>
      </c>
      <c r="C303" s="28">
        <f>RTD("rtdtrading.rtdserver",, "T&amp;T0", "QUL", 295)</f>
        <v>1</v>
      </c>
      <c r="D303" s="28" t="str">
        <f>RTD("rtdtrading.rtdserver",, "T&amp;T0", "AGR", 295)</f>
        <v>Comprador</v>
      </c>
      <c r="G303" s="36" t="str">
        <f>RTD("rtdtrading.rtdserver",, "T&amp;T1", "DAT", 295)</f>
        <v>19:05:18.327</v>
      </c>
      <c r="H303" s="37">
        <f>RTD("rtdtrading.rtdserver",, "T&amp;T1", "PRE", 295)</f>
        <v>7347.25</v>
      </c>
      <c r="I303" s="38">
        <f>RTD("rtdtrading.rtdserver",, "T&amp;T1", "QUL", 295)</f>
        <v>1</v>
      </c>
      <c r="J303" s="39" t="str">
        <f>RTD("rtdtrading.rtdserver",, "T&amp;T1", "AGR", 295)</f>
        <v>Vendedor</v>
      </c>
    </row>
    <row r="304" spans="1:10" x14ac:dyDescent="0.25">
      <c r="A304" s="44" t="str">
        <f>RTD("rtdtrading.rtdserver",, "T&amp;T0", "DAT", 296)</f>
        <v>19:05:06.990</v>
      </c>
      <c r="B304" s="27">
        <f>RTD("rtdtrading.rtdserver",, "T&amp;T0", "PRE", 296)</f>
        <v>7348.5</v>
      </c>
      <c r="C304" s="28">
        <f>RTD("rtdtrading.rtdserver",, "T&amp;T0", "QUL", 296)</f>
        <v>3</v>
      </c>
      <c r="D304" s="28" t="str">
        <f>RTD("rtdtrading.rtdserver",, "T&amp;T0", "AGR", 296)</f>
        <v>Comprador</v>
      </c>
      <c r="G304" s="36" t="str">
        <f>RTD("rtdtrading.rtdserver",, "T&amp;T1", "DAT", 296)</f>
        <v>19:05:18.327</v>
      </c>
      <c r="H304" s="37">
        <f>RTD("rtdtrading.rtdserver",, "T&amp;T1", "PRE", 296)</f>
        <v>7347.25</v>
      </c>
      <c r="I304" s="38">
        <f>RTD("rtdtrading.rtdserver",, "T&amp;T1", "QUL", 296)</f>
        <v>2</v>
      </c>
      <c r="J304" s="39" t="str">
        <f>RTD("rtdtrading.rtdserver",, "T&amp;T1", "AGR", 296)</f>
        <v>Vendedor</v>
      </c>
    </row>
    <row r="305" spans="1:10" x14ac:dyDescent="0.25">
      <c r="A305" s="44" t="str">
        <f>RTD("rtdtrading.rtdserver",, "T&amp;T0", "DAT", 297)</f>
        <v>19:05:06.966</v>
      </c>
      <c r="B305" s="27">
        <f>RTD("rtdtrading.rtdserver",, "T&amp;T0", "PRE", 297)</f>
        <v>7348.25</v>
      </c>
      <c r="C305" s="28">
        <f>RTD("rtdtrading.rtdserver",, "T&amp;T0", "QUL", 297)</f>
        <v>1</v>
      </c>
      <c r="D305" s="28" t="str">
        <f>RTD("rtdtrading.rtdserver",, "T&amp;T0", "AGR", 297)</f>
        <v>Comprador</v>
      </c>
      <c r="G305" s="36" t="str">
        <f>RTD("rtdtrading.rtdserver",, "T&amp;T1", "DAT", 297)</f>
        <v>19:05:18.327</v>
      </c>
      <c r="H305" s="37">
        <f>RTD("rtdtrading.rtdserver",, "T&amp;T1", "PRE", 297)</f>
        <v>7347.25</v>
      </c>
      <c r="I305" s="38">
        <f>RTD("rtdtrading.rtdserver",, "T&amp;T1", "QUL", 297)</f>
        <v>5</v>
      </c>
      <c r="J305" s="39" t="str">
        <f>RTD("rtdtrading.rtdserver",, "T&amp;T1", "AGR", 297)</f>
        <v>Vendedor</v>
      </c>
    </row>
    <row r="306" spans="1:10" x14ac:dyDescent="0.25">
      <c r="A306" s="44" t="str">
        <f>RTD("rtdtrading.rtdserver",, "T&amp;T0", "DAT", 298)</f>
        <v>19:05:06.966</v>
      </c>
      <c r="B306" s="27">
        <f>RTD("rtdtrading.rtdserver",, "T&amp;T0", "PRE", 298)</f>
        <v>7348.25</v>
      </c>
      <c r="C306" s="28">
        <f>RTD("rtdtrading.rtdserver",, "T&amp;T0", "QUL", 298)</f>
        <v>1</v>
      </c>
      <c r="D306" s="28" t="str">
        <f>RTD("rtdtrading.rtdserver",, "T&amp;T0", "AGR", 298)</f>
        <v>Comprador</v>
      </c>
      <c r="G306" s="36" t="str">
        <f>RTD("rtdtrading.rtdserver",, "T&amp;T1", "DAT", 298)</f>
        <v>19:05:17.228</v>
      </c>
      <c r="H306" s="37">
        <f>RTD("rtdtrading.rtdserver",, "T&amp;T1", "PRE", 298)</f>
        <v>7347.25</v>
      </c>
      <c r="I306" s="38">
        <f>RTD("rtdtrading.rtdserver",, "T&amp;T1", "QUL", 298)</f>
        <v>3</v>
      </c>
      <c r="J306" s="39" t="str">
        <f>RTD("rtdtrading.rtdserver",, "T&amp;T1", "AGR", 298)</f>
        <v>Vendedor</v>
      </c>
    </row>
    <row r="307" spans="1:10" x14ac:dyDescent="0.25">
      <c r="A307" s="44" t="str">
        <f>RTD("rtdtrading.rtdserver",, "T&amp;T0", "DAT", 299)</f>
        <v>19:05:06.785</v>
      </c>
      <c r="B307" s="27">
        <f>RTD("rtdtrading.rtdserver",, "T&amp;T0", "PRE", 299)</f>
        <v>7348</v>
      </c>
      <c r="C307" s="28">
        <f>RTD("rtdtrading.rtdserver",, "T&amp;T0", "QUL", 299)</f>
        <v>5</v>
      </c>
      <c r="D307" s="28" t="str">
        <f>RTD("rtdtrading.rtdserver",, "T&amp;T0", "AGR", 299)</f>
        <v>Comprador</v>
      </c>
      <c r="G307" s="36" t="str">
        <f>RTD("rtdtrading.rtdserver",, "T&amp;T1", "DAT", 299)</f>
        <v>19:05:15.241</v>
      </c>
      <c r="H307" s="37">
        <f>RTD("rtdtrading.rtdserver",, "T&amp;T1", "PRE", 299)</f>
        <v>7347</v>
      </c>
      <c r="I307" s="38">
        <f>RTD("rtdtrading.rtdserver",, "T&amp;T1", "QUL", 299)</f>
        <v>1</v>
      </c>
      <c r="J307" s="39" t="str">
        <f>RTD("rtdtrading.rtdserver",, "T&amp;T1", "AGR", 299)</f>
        <v>Vendedor</v>
      </c>
    </row>
    <row r="308" spans="1:10" x14ac:dyDescent="0.25">
      <c r="A308" s="44" t="str">
        <f>RTD("rtdtrading.rtdserver",, "T&amp;T0", "DAT", 300)</f>
        <v>19:05:06.742</v>
      </c>
      <c r="B308" s="27">
        <f>RTD("rtdtrading.rtdserver",, "T&amp;T0", "PRE", 300)</f>
        <v>7348</v>
      </c>
      <c r="C308" s="28">
        <f>RTD("rtdtrading.rtdserver",, "T&amp;T0", "QUL", 300)</f>
        <v>1</v>
      </c>
      <c r="D308" s="28" t="str">
        <f>RTD("rtdtrading.rtdserver",, "T&amp;T0", "AGR", 300)</f>
        <v>Comprador</v>
      </c>
      <c r="G308" s="36" t="str">
        <f>RTD("rtdtrading.rtdserver",, "T&amp;T1", "DAT", 300)</f>
        <v>19:05:15.146</v>
      </c>
      <c r="H308" s="37">
        <f>RTD("rtdtrading.rtdserver",, "T&amp;T1", "PRE", 300)</f>
        <v>7347</v>
      </c>
      <c r="I308" s="38">
        <f>RTD("rtdtrading.rtdserver",, "T&amp;T1", "QUL", 300)</f>
        <v>1</v>
      </c>
      <c r="J308" s="39" t="str">
        <f>RTD("rtdtrading.rtdserver",, "T&amp;T1", "AGR", 300)</f>
        <v>Vendedor</v>
      </c>
    </row>
    <row r="309" spans="1:10" x14ac:dyDescent="0.25">
      <c r="A309" s="44" t="str">
        <f>RTD("rtdtrading.rtdserver",, "T&amp;T0", "DAT", 301)</f>
        <v>19:05:06.740</v>
      </c>
      <c r="B309" s="27">
        <f>RTD("rtdtrading.rtdserver",, "T&amp;T0", "PRE", 301)</f>
        <v>7348.25</v>
      </c>
      <c r="C309" s="28">
        <f>RTD("rtdtrading.rtdserver",, "T&amp;T0", "QUL", 301)</f>
        <v>1</v>
      </c>
      <c r="D309" s="28" t="str">
        <f>RTD("rtdtrading.rtdserver",, "T&amp;T0", "AGR", 301)</f>
        <v>Comprador</v>
      </c>
      <c r="G309" s="36" t="str">
        <f>RTD("rtdtrading.rtdserver",, "T&amp;T1", "DAT", 301)</f>
        <v>19:05:15.146</v>
      </c>
      <c r="H309" s="37">
        <f>RTD("rtdtrading.rtdserver",, "T&amp;T1", "PRE", 301)</f>
        <v>7347</v>
      </c>
      <c r="I309" s="38">
        <f>RTD("rtdtrading.rtdserver",, "T&amp;T1", "QUL", 301)</f>
        <v>1</v>
      </c>
      <c r="J309" s="39" t="str">
        <f>RTD("rtdtrading.rtdserver",, "T&amp;T1", "AGR", 301)</f>
        <v>Vendedor</v>
      </c>
    </row>
    <row r="310" spans="1:10" x14ac:dyDescent="0.25">
      <c r="A310" s="44" t="str">
        <f>RTD("rtdtrading.rtdserver",, "T&amp;T0", "DAT", 302)</f>
        <v>19:05:06.740</v>
      </c>
      <c r="B310" s="27">
        <f>RTD("rtdtrading.rtdserver",, "T&amp;T0", "PRE", 302)</f>
        <v>7348</v>
      </c>
      <c r="C310" s="28">
        <f>RTD("rtdtrading.rtdserver",, "T&amp;T0", "QUL", 302)</f>
        <v>1</v>
      </c>
      <c r="D310" s="28" t="str">
        <f>RTD("rtdtrading.rtdserver",, "T&amp;T0", "AGR", 302)</f>
        <v>Comprador</v>
      </c>
      <c r="G310" s="36" t="str">
        <f>RTD("rtdtrading.rtdserver",, "T&amp;T1", "DAT", 302)</f>
        <v>19:05:14.612</v>
      </c>
      <c r="H310" s="37">
        <f>RTD("rtdtrading.rtdserver",, "T&amp;T1", "PRE", 302)</f>
        <v>7346.75</v>
      </c>
      <c r="I310" s="38">
        <f>RTD("rtdtrading.rtdserver",, "T&amp;T1", "QUL", 302)</f>
        <v>5</v>
      </c>
      <c r="J310" s="39" t="str">
        <f>RTD("rtdtrading.rtdserver",, "T&amp;T1", "AGR", 302)</f>
        <v>Vendedor</v>
      </c>
    </row>
    <row r="311" spans="1:10" x14ac:dyDescent="0.25">
      <c r="A311" s="44" t="str">
        <f>RTD("rtdtrading.rtdserver",, "T&amp;T0", "DAT", 303)</f>
        <v>19:05:05.867</v>
      </c>
      <c r="B311" s="27">
        <f>RTD("rtdtrading.rtdserver",, "T&amp;T0", "PRE", 303)</f>
        <v>7348.5</v>
      </c>
      <c r="C311" s="28">
        <f>RTD("rtdtrading.rtdserver",, "T&amp;T0", "QUL", 303)</f>
        <v>1</v>
      </c>
      <c r="D311" s="28" t="str">
        <f>RTD("rtdtrading.rtdserver",, "T&amp;T0", "AGR", 303)</f>
        <v>Comprador</v>
      </c>
      <c r="G311" s="36" t="str">
        <f>RTD("rtdtrading.rtdserver",, "T&amp;T1", "DAT", 303)</f>
        <v>19:05:11.178</v>
      </c>
      <c r="H311" s="37">
        <f>RTD("rtdtrading.rtdserver",, "T&amp;T1", "PRE", 303)</f>
        <v>7346.75</v>
      </c>
      <c r="I311" s="38">
        <f>RTD("rtdtrading.rtdserver",, "T&amp;T1", "QUL", 303)</f>
        <v>3</v>
      </c>
      <c r="J311" s="39" t="str">
        <f>RTD("rtdtrading.rtdserver",, "T&amp;T1", "AGR", 303)</f>
        <v>Vendedor</v>
      </c>
    </row>
    <row r="312" spans="1:10" x14ac:dyDescent="0.25">
      <c r="A312" s="44" t="str">
        <f>RTD("rtdtrading.rtdserver",, "T&amp;T0", "DAT", 304)</f>
        <v>19:05:05.396</v>
      </c>
      <c r="B312" s="27">
        <f>RTD("rtdtrading.rtdserver",, "T&amp;T0", "PRE", 304)</f>
        <v>7348.5</v>
      </c>
      <c r="C312" s="28">
        <f>RTD("rtdtrading.rtdserver",, "T&amp;T0", "QUL", 304)</f>
        <v>1</v>
      </c>
      <c r="D312" s="28" t="str">
        <f>RTD("rtdtrading.rtdserver",, "T&amp;T0", "AGR", 304)</f>
        <v>Comprador</v>
      </c>
      <c r="G312" s="36" t="str">
        <f>RTD("rtdtrading.rtdserver",, "T&amp;T1", "DAT", 304)</f>
        <v>19:05:11.178</v>
      </c>
      <c r="H312" s="37">
        <f>RTD("rtdtrading.rtdserver",, "T&amp;T1", "PRE", 304)</f>
        <v>7347</v>
      </c>
      <c r="I312" s="38">
        <f>RTD("rtdtrading.rtdserver",, "T&amp;T1", "QUL", 304)</f>
        <v>2</v>
      </c>
      <c r="J312" s="39" t="str">
        <f>RTD("rtdtrading.rtdserver",, "T&amp;T1", "AGR", 304)</f>
        <v>Vendedor</v>
      </c>
    </row>
    <row r="313" spans="1:10" x14ac:dyDescent="0.25">
      <c r="A313" s="44" t="str">
        <f>RTD("rtdtrading.rtdserver",, "T&amp;T0", "DAT", 305)</f>
        <v>19:05:05.261</v>
      </c>
      <c r="B313" s="27">
        <f>RTD("rtdtrading.rtdserver",, "T&amp;T0", "PRE", 305)</f>
        <v>7348.25</v>
      </c>
      <c r="C313" s="28">
        <f>RTD("rtdtrading.rtdserver",, "T&amp;T0", "QUL", 305)</f>
        <v>3</v>
      </c>
      <c r="D313" s="28" t="str">
        <f>RTD("rtdtrading.rtdserver",, "T&amp;T0", "AGR", 305)</f>
        <v>Comprador</v>
      </c>
      <c r="G313" s="36" t="str">
        <f>RTD("rtdtrading.rtdserver",, "T&amp;T1", "DAT", 305)</f>
        <v>19:05:11.122</v>
      </c>
      <c r="H313" s="37">
        <f>RTD("rtdtrading.rtdserver",, "T&amp;T1", "PRE", 305)</f>
        <v>7347</v>
      </c>
      <c r="I313" s="38">
        <f>RTD("rtdtrading.rtdserver",, "T&amp;T1", "QUL", 305)</f>
        <v>1</v>
      </c>
      <c r="J313" s="39" t="str">
        <f>RTD("rtdtrading.rtdserver",, "T&amp;T1", "AGR", 305)</f>
        <v>Vendedor</v>
      </c>
    </row>
    <row r="314" spans="1:10" x14ac:dyDescent="0.25">
      <c r="A314" s="44" t="str">
        <f>RTD("rtdtrading.rtdserver",, "T&amp;T0", "DAT", 306)</f>
        <v>19:05:04.263</v>
      </c>
      <c r="B314" s="27">
        <f>RTD("rtdtrading.rtdserver",, "T&amp;T0", "PRE", 306)</f>
        <v>7348.75</v>
      </c>
      <c r="C314" s="28">
        <f>RTD("rtdtrading.rtdserver",, "T&amp;T0", "QUL", 306)</f>
        <v>2</v>
      </c>
      <c r="D314" s="28" t="str">
        <f>RTD("rtdtrading.rtdserver",, "T&amp;T0", "AGR", 306)</f>
        <v>Comprador</v>
      </c>
      <c r="G314" s="36" t="str">
        <f>RTD("rtdtrading.rtdserver",, "T&amp;T1", "DAT", 306)</f>
        <v>19:05:10.858</v>
      </c>
      <c r="H314" s="37">
        <f>RTD("rtdtrading.rtdserver",, "T&amp;T1", "PRE", 306)</f>
        <v>7346.75</v>
      </c>
      <c r="I314" s="38">
        <f>RTD("rtdtrading.rtdserver",, "T&amp;T1", "QUL", 306)</f>
        <v>5</v>
      </c>
      <c r="J314" s="39" t="str">
        <f>RTD("rtdtrading.rtdserver",, "T&amp;T1", "AGR", 306)</f>
        <v>Vendedor</v>
      </c>
    </row>
    <row r="315" spans="1:10" x14ac:dyDescent="0.25">
      <c r="A315" s="44" t="str">
        <f>RTD("rtdtrading.rtdserver",, "T&amp;T0", "DAT", 307)</f>
        <v>19:05:02.551</v>
      </c>
      <c r="B315" s="27">
        <f>RTD("rtdtrading.rtdserver",, "T&amp;T0", "PRE", 307)</f>
        <v>7348.5</v>
      </c>
      <c r="C315" s="28">
        <f>RTD("rtdtrading.rtdserver",, "T&amp;T0", "QUL", 307)</f>
        <v>4</v>
      </c>
      <c r="D315" s="28" t="str">
        <f>RTD("rtdtrading.rtdserver",, "T&amp;T0", "AGR", 307)</f>
        <v>Comprador</v>
      </c>
      <c r="G315" s="36" t="str">
        <f>RTD("rtdtrading.rtdserver",, "T&amp;T1", "DAT", 307)</f>
        <v>19:05:10.162</v>
      </c>
      <c r="H315" s="37">
        <f>RTD("rtdtrading.rtdserver",, "T&amp;T1", "PRE", 307)</f>
        <v>7347</v>
      </c>
      <c r="I315" s="38">
        <f>RTD("rtdtrading.rtdserver",, "T&amp;T1", "QUL", 307)</f>
        <v>1</v>
      </c>
      <c r="J315" s="39" t="str">
        <f>RTD("rtdtrading.rtdserver",, "T&amp;T1", "AGR", 307)</f>
        <v>Vendedor</v>
      </c>
    </row>
    <row r="316" spans="1:10" x14ac:dyDescent="0.25">
      <c r="A316" s="44" t="str">
        <f>RTD("rtdtrading.rtdserver",, "T&amp;T0", "DAT", 308)</f>
        <v>19:05:02.551</v>
      </c>
      <c r="B316" s="27">
        <f>RTD("rtdtrading.rtdserver",, "T&amp;T0", "PRE", 308)</f>
        <v>7348.5</v>
      </c>
      <c r="C316" s="28">
        <f>RTD("rtdtrading.rtdserver",, "T&amp;T0", "QUL", 308)</f>
        <v>1</v>
      </c>
      <c r="D316" s="28" t="str">
        <f>RTD("rtdtrading.rtdserver",, "T&amp;T0", "AGR", 308)</f>
        <v>Comprador</v>
      </c>
      <c r="G316" s="36" t="str">
        <f>RTD("rtdtrading.rtdserver",, "T&amp;T1", "DAT", 308)</f>
        <v>19:05:10.162</v>
      </c>
      <c r="H316" s="37">
        <f>RTD("rtdtrading.rtdserver",, "T&amp;T1", "PRE", 308)</f>
        <v>7347</v>
      </c>
      <c r="I316" s="38">
        <f>RTD("rtdtrading.rtdserver",, "T&amp;T1", "QUL", 308)</f>
        <v>1</v>
      </c>
      <c r="J316" s="39" t="str">
        <f>RTD("rtdtrading.rtdserver",, "T&amp;T1", "AGR", 308)</f>
        <v>Vendedor</v>
      </c>
    </row>
    <row r="317" spans="1:10" x14ac:dyDescent="0.25">
      <c r="A317" s="44" t="str">
        <f>RTD("rtdtrading.rtdserver",, "T&amp;T0", "DAT", 309)</f>
        <v>19:05:02.351</v>
      </c>
      <c r="B317" s="27">
        <f>RTD("rtdtrading.rtdserver",, "T&amp;T0", "PRE", 309)</f>
        <v>7348.25</v>
      </c>
      <c r="C317" s="28">
        <f>RTD("rtdtrading.rtdserver",, "T&amp;T0", "QUL", 309)</f>
        <v>1</v>
      </c>
      <c r="D317" s="28" t="str">
        <f>RTD("rtdtrading.rtdserver",, "T&amp;T0", "AGR", 309)</f>
        <v>Comprador</v>
      </c>
      <c r="G317" s="36" t="str">
        <f>RTD("rtdtrading.rtdserver",, "T&amp;T1", "DAT", 309)</f>
        <v>19:05:10.131</v>
      </c>
      <c r="H317" s="37">
        <f>RTD("rtdtrading.rtdserver",, "T&amp;T1", "PRE", 309)</f>
        <v>7347.25</v>
      </c>
      <c r="I317" s="38">
        <f>RTD("rtdtrading.rtdserver",, "T&amp;T1", "QUL", 309)</f>
        <v>5</v>
      </c>
      <c r="J317" s="39" t="str">
        <f>RTD("rtdtrading.rtdserver",, "T&amp;T1", "AGR", 309)</f>
        <v>Vendedor</v>
      </c>
    </row>
    <row r="318" spans="1:10" x14ac:dyDescent="0.25">
      <c r="A318" s="44" t="str">
        <f>RTD("rtdtrading.rtdserver",, "T&amp;T0", "DAT", 310)</f>
        <v>19:05:02.194</v>
      </c>
      <c r="B318" s="27">
        <f>RTD("rtdtrading.rtdserver",, "T&amp;T0", "PRE", 310)</f>
        <v>7348.25</v>
      </c>
      <c r="C318" s="28">
        <f>RTD("rtdtrading.rtdserver",, "T&amp;T0", "QUL", 310)</f>
        <v>1</v>
      </c>
      <c r="D318" s="28" t="str">
        <f>RTD("rtdtrading.rtdserver",, "T&amp;T0", "AGR", 310)</f>
        <v>Comprador</v>
      </c>
      <c r="G318" s="36" t="str">
        <f>RTD("rtdtrading.rtdserver",, "T&amp;T1", "DAT", 310)</f>
        <v>19:05:09.824</v>
      </c>
      <c r="H318" s="37">
        <f>RTD("rtdtrading.rtdserver",, "T&amp;T1", "PRE", 310)</f>
        <v>7347.5</v>
      </c>
      <c r="I318" s="38">
        <f>RTD("rtdtrading.rtdserver",, "T&amp;T1", "QUL", 310)</f>
        <v>1</v>
      </c>
      <c r="J318" s="39" t="str">
        <f>RTD("rtdtrading.rtdserver",, "T&amp;T1", "AGR", 310)</f>
        <v>Vendedor</v>
      </c>
    </row>
    <row r="319" spans="1:10" x14ac:dyDescent="0.25">
      <c r="A319" s="44" t="str">
        <f>RTD("rtdtrading.rtdserver",, "T&amp;T0", "DAT", 311)</f>
        <v>19:05:01.414</v>
      </c>
      <c r="B319" s="27">
        <f>RTD("rtdtrading.rtdserver",, "T&amp;T0", "PRE", 311)</f>
        <v>7348</v>
      </c>
      <c r="C319" s="28">
        <f>RTD("rtdtrading.rtdserver",, "T&amp;T0", "QUL", 311)</f>
        <v>1</v>
      </c>
      <c r="D319" s="28" t="str">
        <f>RTD("rtdtrading.rtdserver",, "T&amp;T0", "AGR", 311)</f>
        <v>Comprador</v>
      </c>
      <c r="G319" s="36" t="str">
        <f>RTD("rtdtrading.rtdserver",, "T&amp;T1", "DAT", 311)</f>
        <v>19:05:08.989</v>
      </c>
      <c r="H319" s="37">
        <f>RTD("rtdtrading.rtdserver",, "T&amp;T1", "PRE", 311)</f>
        <v>7347.25</v>
      </c>
      <c r="I319" s="38">
        <f>RTD("rtdtrading.rtdserver",, "T&amp;T1", "QUL", 311)</f>
        <v>3</v>
      </c>
      <c r="J319" s="39" t="str">
        <f>RTD("rtdtrading.rtdserver",, "T&amp;T1", "AGR", 311)</f>
        <v>Vendedor</v>
      </c>
    </row>
    <row r="320" spans="1:10" x14ac:dyDescent="0.25">
      <c r="A320" s="44" t="str">
        <f>RTD("rtdtrading.rtdserver",, "T&amp;T0", "DAT", 312)</f>
        <v>19:05:00.723</v>
      </c>
      <c r="B320" s="27">
        <f>RTD("rtdtrading.rtdserver",, "T&amp;T0", "PRE", 312)</f>
        <v>7348.25</v>
      </c>
      <c r="C320" s="28">
        <f>RTD("rtdtrading.rtdserver",, "T&amp;T0", "QUL", 312)</f>
        <v>1</v>
      </c>
      <c r="D320" s="28" t="str">
        <f>RTD("rtdtrading.rtdserver",, "T&amp;T0", "AGR", 312)</f>
        <v>Comprador</v>
      </c>
      <c r="G320" s="36" t="str">
        <f>RTD("rtdtrading.rtdserver",, "T&amp;T1", "DAT", 312)</f>
        <v>19:05:08.507</v>
      </c>
      <c r="H320" s="37">
        <f>RTD("rtdtrading.rtdserver",, "T&amp;T1", "PRE", 312)</f>
        <v>7347.5</v>
      </c>
      <c r="I320" s="38">
        <f>RTD("rtdtrading.rtdserver",, "T&amp;T1", "QUL", 312)</f>
        <v>2</v>
      </c>
      <c r="J320" s="39" t="str">
        <f>RTD("rtdtrading.rtdserver",, "T&amp;T1", "AGR", 312)</f>
        <v>Vendedor</v>
      </c>
    </row>
    <row r="321" spans="1:10" x14ac:dyDescent="0.25">
      <c r="A321" s="44" t="str">
        <f>RTD("rtdtrading.rtdserver",, "T&amp;T0", "DAT", 313)</f>
        <v>19:05:00.625</v>
      </c>
      <c r="B321" s="27">
        <f>RTD("rtdtrading.rtdserver",, "T&amp;T0", "PRE", 313)</f>
        <v>7348.25</v>
      </c>
      <c r="C321" s="28">
        <f>RTD("rtdtrading.rtdserver",, "T&amp;T0", "QUL", 313)</f>
        <v>1</v>
      </c>
      <c r="D321" s="28" t="str">
        <f>RTD("rtdtrading.rtdserver",, "T&amp;T0", "AGR", 313)</f>
        <v>Comprador</v>
      </c>
      <c r="G321" s="36" t="str">
        <f>RTD("rtdtrading.rtdserver",, "T&amp;T1", "DAT", 313)</f>
        <v>19:05:08.384</v>
      </c>
      <c r="H321" s="37">
        <f>RTD("rtdtrading.rtdserver",, "T&amp;T1", "PRE", 313)</f>
        <v>7347.75</v>
      </c>
      <c r="I321" s="38">
        <f>RTD("rtdtrading.rtdserver",, "T&amp;T1", "QUL", 313)</f>
        <v>3</v>
      </c>
      <c r="J321" s="39" t="str">
        <f>RTD("rtdtrading.rtdserver",, "T&amp;T1", "AGR", 313)</f>
        <v>Vendedor</v>
      </c>
    </row>
    <row r="322" spans="1:10" x14ac:dyDescent="0.25">
      <c r="A322" s="44" t="str">
        <f>RTD("rtdtrading.rtdserver",, "T&amp;T0", "DAT", 314)</f>
        <v>19:05:00.402</v>
      </c>
      <c r="B322" s="27">
        <f>RTD("rtdtrading.rtdserver",, "T&amp;T0", "PRE", 314)</f>
        <v>7348.25</v>
      </c>
      <c r="C322" s="28">
        <f>RTD("rtdtrading.rtdserver",, "T&amp;T0", "QUL", 314)</f>
        <v>1</v>
      </c>
      <c r="D322" s="28" t="str">
        <f>RTD("rtdtrading.rtdserver",, "T&amp;T0", "AGR", 314)</f>
        <v>Comprador</v>
      </c>
      <c r="G322" s="36" t="str">
        <f>RTD("rtdtrading.rtdserver",, "T&amp;T1", "DAT", 314)</f>
        <v>19:05:08.371</v>
      </c>
      <c r="H322" s="37">
        <f>RTD("rtdtrading.rtdserver",, "T&amp;T1", "PRE", 314)</f>
        <v>7347.75</v>
      </c>
      <c r="I322" s="38">
        <f>RTD("rtdtrading.rtdserver",, "T&amp;T1", "QUL", 314)</f>
        <v>3</v>
      </c>
      <c r="J322" s="39" t="str">
        <f>RTD("rtdtrading.rtdserver",, "T&amp;T1", "AGR", 314)</f>
        <v>Vendedor</v>
      </c>
    </row>
    <row r="323" spans="1:10" x14ac:dyDescent="0.25">
      <c r="A323" s="44" t="str">
        <f>RTD("rtdtrading.rtdserver",, "T&amp;T0", "DAT", 315)</f>
        <v>19:05:00.396</v>
      </c>
      <c r="B323" s="27">
        <f>RTD("rtdtrading.rtdserver",, "T&amp;T0", "PRE", 315)</f>
        <v>7348</v>
      </c>
      <c r="C323" s="28">
        <f>RTD("rtdtrading.rtdserver",, "T&amp;T0", "QUL", 315)</f>
        <v>1</v>
      </c>
      <c r="D323" s="28" t="str">
        <f>RTD("rtdtrading.rtdserver",, "T&amp;T0", "AGR", 315)</f>
        <v>Comprador</v>
      </c>
      <c r="G323" s="36" t="str">
        <f>RTD("rtdtrading.rtdserver",, "T&amp;T1", "DAT", 315)</f>
        <v>19:05:08.268</v>
      </c>
      <c r="H323" s="37">
        <f>RTD("rtdtrading.rtdserver",, "T&amp;T1", "PRE", 315)</f>
        <v>7347.75</v>
      </c>
      <c r="I323" s="38">
        <f>RTD("rtdtrading.rtdserver",, "T&amp;T1", "QUL", 315)</f>
        <v>1</v>
      </c>
      <c r="J323" s="39" t="str">
        <f>RTD("rtdtrading.rtdserver",, "T&amp;T1", "AGR", 315)</f>
        <v>Vendedor</v>
      </c>
    </row>
    <row r="324" spans="1:10" x14ac:dyDescent="0.25">
      <c r="A324" s="44" t="str">
        <f>RTD("rtdtrading.rtdserver",, "T&amp;T0", "DAT", 316)</f>
        <v>19:05:00.396</v>
      </c>
      <c r="B324" s="27">
        <f>RTD("rtdtrading.rtdserver",, "T&amp;T0", "PRE", 316)</f>
        <v>7348</v>
      </c>
      <c r="C324" s="28">
        <f>RTD("rtdtrading.rtdserver",, "T&amp;T0", "QUL", 316)</f>
        <v>1</v>
      </c>
      <c r="D324" s="28" t="str">
        <f>RTD("rtdtrading.rtdserver",, "T&amp;T0", "AGR", 316)</f>
        <v>Comprador</v>
      </c>
      <c r="G324" s="36" t="str">
        <f>RTD("rtdtrading.rtdserver",, "T&amp;T1", "DAT", 316)</f>
        <v>19:05:08.168</v>
      </c>
      <c r="H324" s="37">
        <f>RTD("rtdtrading.rtdserver",, "T&amp;T1", "PRE", 316)</f>
        <v>7347.75</v>
      </c>
      <c r="I324" s="38">
        <f>RTD("rtdtrading.rtdserver",, "T&amp;T1", "QUL", 316)</f>
        <v>2</v>
      </c>
      <c r="J324" s="39" t="str">
        <f>RTD("rtdtrading.rtdserver",, "T&amp;T1", "AGR", 316)</f>
        <v>Vendedor</v>
      </c>
    </row>
    <row r="325" spans="1:10" x14ac:dyDescent="0.25">
      <c r="A325" s="44" t="str">
        <f>RTD("rtdtrading.rtdserver",, "T&amp;T0", "DAT", 317)</f>
        <v>19:05:00.396</v>
      </c>
      <c r="B325" s="27">
        <f>RTD("rtdtrading.rtdserver",, "T&amp;T0", "PRE", 317)</f>
        <v>7348</v>
      </c>
      <c r="C325" s="28">
        <f>RTD("rtdtrading.rtdserver",, "T&amp;T0", "QUL", 317)</f>
        <v>2</v>
      </c>
      <c r="D325" s="28" t="str">
        <f>RTD("rtdtrading.rtdserver",, "T&amp;T0", "AGR", 317)</f>
        <v>Comprador</v>
      </c>
      <c r="G325" s="36" t="str">
        <f>RTD("rtdtrading.rtdserver",, "T&amp;T1", "DAT", 317)</f>
        <v>19:05:07.989</v>
      </c>
      <c r="H325" s="37">
        <f>RTD("rtdtrading.rtdserver",, "T&amp;T1", "PRE", 317)</f>
        <v>7347.25</v>
      </c>
      <c r="I325" s="38">
        <f>RTD("rtdtrading.rtdserver",, "T&amp;T1", "QUL", 317)</f>
        <v>2</v>
      </c>
      <c r="J325" s="39" t="str">
        <f>RTD("rtdtrading.rtdserver",, "T&amp;T1", "AGR", 317)</f>
        <v>Vendedor</v>
      </c>
    </row>
    <row r="326" spans="1:10" x14ac:dyDescent="0.25">
      <c r="A326" s="44" t="str">
        <f>RTD("rtdtrading.rtdserver",, "T&amp;T0", "DAT", 318)</f>
        <v>19:04:58.553</v>
      </c>
      <c r="B326" s="27">
        <f>RTD("rtdtrading.rtdserver",, "T&amp;T0", "PRE", 318)</f>
        <v>7348.25</v>
      </c>
      <c r="C326" s="28">
        <f>RTD("rtdtrading.rtdserver",, "T&amp;T0", "QUL", 318)</f>
        <v>1</v>
      </c>
      <c r="D326" s="28" t="str">
        <f>RTD("rtdtrading.rtdserver",, "T&amp;T0", "AGR", 318)</f>
        <v>Comprador</v>
      </c>
      <c r="G326" s="36" t="str">
        <f>RTD("rtdtrading.rtdserver",, "T&amp;T1", "DAT", 318)</f>
        <v>19:05:07.966</v>
      </c>
      <c r="H326" s="37">
        <f>RTD("rtdtrading.rtdserver",, "T&amp;T1", "PRE", 318)</f>
        <v>7347.5</v>
      </c>
      <c r="I326" s="38">
        <f>RTD("rtdtrading.rtdserver",, "T&amp;T1", "QUL", 318)</f>
        <v>2</v>
      </c>
      <c r="J326" s="39" t="str">
        <f>RTD("rtdtrading.rtdserver",, "T&amp;T1", "AGR", 318)</f>
        <v>Vendedor</v>
      </c>
    </row>
    <row r="327" spans="1:10" x14ac:dyDescent="0.25">
      <c r="A327" s="44" t="str">
        <f>RTD("rtdtrading.rtdserver",, "T&amp;T0", "DAT", 319)</f>
        <v>19:04:58.553</v>
      </c>
      <c r="B327" s="27">
        <f>RTD("rtdtrading.rtdserver",, "T&amp;T0", "PRE", 319)</f>
        <v>7348.25</v>
      </c>
      <c r="C327" s="28">
        <f>RTD("rtdtrading.rtdserver",, "T&amp;T0", "QUL", 319)</f>
        <v>1</v>
      </c>
      <c r="D327" s="28" t="str">
        <f>RTD("rtdtrading.rtdserver",, "T&amp;T0", "AGR", 319)</f>
        <v>Comprador</v>
      </c>
      <c r="G327" s="36" t="str">
        <f>RTD("rtdtrading.rtdserver",, "T&amp;T1", "DAT", 319)</f>
        <v>19:05:07.928</v>
      </c>
      <c r="H327" s="37">
        <f>RTD("rtdtrading.rtdserver",, "T&amp;T1", "PRE", 319)</f>
        <v>7347.75</v>
      </c>
      <c r="I327" s="38">
        <f>RTD("rtdtrading.rtdserver",, "T&amp;T1", "QUL", 319)</f>
        <v>2</v>
      </c>
      <c r="J327" s="39" t="str">
        <f>RTD("rtdtrading.rtdserver",, "T&amp;T1", "AGR", 319)</f>
        <v>Vendedor</v>
      </c>
    </row>
    <row r="328" spans="1:10" x14ac:dyDescent="0.25">
      <c r="A328" s="44" t="str">
        <f>RTD("rtdtrading.rtdserver",, "T&amp;T0", "DAT", 320)</f>
        <v>19:04:58.553</v>
      </c>
      <c r="B328" s="27">
        <f>RTD("rtdtrading.rtdserver",, "T&amp;T0", "PRE", 320)</f>
        <v>7348.25</v>
      </c>
      <c r="C328" s="28">
        <f>RTD("rtdtrading.rtdserver",, "T&amp;T0", "QUL", 320)</f>
        <v>1</v>
      </c>
      <c r="D328" s="28" t="str">
        <f>RTD("rtdtrading.rtdserver",, "T&amp;T0", "AGR", 320)</f>
        <v>Comprador</v>
      </c>
      <c r="G328" s="36" t="str">
        <f>RTD("rtdtrading.rtdserver",, "T&amp;T1", "DAT", 320)</f>
        <v>19:05:07.928</v>
      </c>
      <c r="H328" s="37">
        <f>RTD("rtdtrading.rtdserver",, "T&amp;T1", "PRE", 320)</f>
        <v>7347.75</v>
      </c>
      <c r="I328" s="38">
        <f>RTD("rtdtrading.rtdserver",, "T&amp;T1", "QUL", 320)</f>
        <v>2</v>
      </c>
      <c r="J328" s="39" t="str">
        <f>RTD("rtdtrading.rtdserver",, "T&amp;T1", "AGR", 320)</f>
        <v>Vendedor</v>
      </c>
    </row>
    <row r="329" spans="1:10" x14ac:dyDescent="0.25">
      <c r="A329" s="44" t="str">
        <f>RTD("rtdtrading.rtdserver",, "T&amp;T0", "DAT", 321)</f>
        <v>19:04:57.358</v>
      </c>
      <c r="B329" s="27">
        <f>RTD("rtdtrading.rtdserver",, "T&amp;T0", "PRE", 321)</f>
        <v>7348.5</v>
      </c>
      <c r="C329" s="28">
        <f>RTD("rtdtrading.rtdserver",, "T&amp;T0", "QUL", 321)</f>
        <v>1</v>
      </c>
      <c r="D329" s="28" t="str">
        <f>RTD("rtdtrading.rtdserver",, "T&amp;T0", "AGR", 321)</f>
        <v>Comprador</v>
      </c>
      <c r="G329" s="36" t="str">
        <f>RTD("rtdtrading.rtdserver",, "T&amp;T1", "DAT", 321)</f>
        <v>19:05:07.925</v>
      </c>
      <c r="H329" s="37">
        <f>RTD("rtdtrading.rtdserver",, "T&amp;T1", "PRE", 321)</f>
        <v>7346.75</v>
      </c>
      <c r="I329" s="38">
        <f>RTD("rtdtrading.rtdserver",, "T&amp;T1", "QUL", 321)</f>
        <v>2</v>
      </c>
      <c r="J329" s="39" t="str">
        <f>RTD("rtdtrading.rtdserver",, "T&amp;T1", "AGR", 321)</f>
        <v>Vendedor</v>
      </c>
    </row>
    <row r="330" spans="1:10" x14ac:dyDescent="0.25">
      <c r="A330" s="44" t="str">
        <f>RTD("rtdtrading.rtdserver",, "T&amp;T0", "DAT", 322)</f>
        <v>19:04:54.150</v>
      </c>
      <c r="B330" s="27">
        <f>RTD("rtdtrading.rtdserver",, "T&amp;T0", "PRE", 322)</f>
        <v>7348.25</v>
      </c>
      <c r="C330" s="28">
        <f>RTD("rtdtrading.rtdserver",, "T&amp;T0", "QUL", 322)</f>
        <v>3</v>
      </c>
      <c r="D330" s="28" t="str">
        <f>RTD("rtdtrading.rtdserver",, "T&amp;T0", "AGR", 322)</f>
        <v>Comprador</v>
      </c>
      <c r="G330" s="36" t="str">
        <f>RTD("rtdtrading.rtdserver",, "T&amp;T1", "DAT", 322)</f>
        <v>19:05:07.925</v>
      </c>
      <c r="H330" s="37">
        <f>RTD("rtdtrading.rtdserver",, "T&amp;T1", "PRE", 322)</f>
        <v>7346.75</v>
      </c>
      <c r="I330" s="38">
        <f>RTD("rtdtrading.rtdserver",, "T&amp;T1", "QUL", 322)</f>
        <v>6</v>
      </c>
      <c r="J330" s="39" t="str">
        <f>RTD("rtdtrading.rtdserver",, "T&amp;T1", "AGR", 322)</f>
        <v>Vendedor</v>
      </c>
    </row>
    <row r="331" spans="1:10" x14ac:dyDescent="0.25">
      <c r="A331" s="44" t="str">
        <f>RTD("rtdtrading.rtdserver",, "T&amp;T0", "DAT", 323)</f>
        <v>19:04:54.150</v>
      </c>
      <c r="B331" s="27">
        <f>RTD("rtdtrading.rtdserver",, "T&amp;T0", "PRE", 323)</f>
        <v>7348.25</v>
      </c>
      <c r="C331" s="28">
        <f>RTD("rtdtrading.rtdserver",, "T&amp;T0", "QUL", 323)</f>
        <v>2</v>
      </c>
      <c r="D331" s="28" t="str">
        <f>RTD("rtdtrading.rtdserver",, "T&amp;T0", "AGR", 323)</f>
        <v>Comprador</v>
      </c>
      <c r="G331" s="36" t="str">
        <f>RTD("rtdtrading.rtdserver",, "T&amp;T1", "DAT", 323)</f>
        <v>19:05:07.925</v>
      </c>
      <c r="H331" s="37">
        <f>RTD("rtdtrading.rtdserver",, "T&amp;T1", "PRE", 323)</f>
        <v>7347</v>
      </c>
      <c r="I331" s="38">
        <f>RTD("rtdtrading.rtdserver",, "T&amp;T1", "QUL", 323)</f>
        <v>1</v>
      </c>
      <c r="J331" s="39" t="str">
        <f>RTD("rtdtrading.rtdserver",, "T&amp;T1", "AGR", 323)</f>
        <v>Vendedor</v>
      </c>
    </row>
    <row r="332" spans="1:10" x14ac:dyDescent="0.25">
      <c r="A332" s="44" t="str">
        <f>RTD("rtdtrading.rtdserver",, "T&amp;T0", "DAT", 324)</f>
        <v>19:04:51.893</v>
      </c>
      <c r="B332" s="27">
        <f>RTD("rtdtrading.rtdserver",, "T&amp;T0", "PRE", 324)</f>
        <v>7348.25</v>
      </c>
      <c r="C332" s="28">
        <f>RTD("rtdtrading.rtdserver",, "T&amp;T0", "QUL", 324)</f>
        <v>1</v>
      </c>
      <c r="D332" s="28" t="str">
        <f>RTD("rtdtrading.rtdserver",, "T&amp;T0", "AGR", 324)</f>
        <v>Comprador</v>
      </c>
      <c r="G332" s="36" t="str">
        <f>RTD("rtdtrading.rtdserver",, "T&amp;T1", "DAT", 324)</f>
        <v>19:05:07.925</v>
      </c>
      <c r="H332" s="37">
        <f>RTD("rtdtrading.rtdserver",, "T&amp;T1", "PRE", 324)</f>
        <v>7347.5</v>
      </c>
      <c r="I332" s="38">
        <f>RTD("rtdtrading.rtdserver",, "T&amp;T1", "QUL", 324)</f>
        <v>3</v>
      </c>
      <c r="J332" s="39" t="str">
        <f>RTD("rtdtrading.rtdserver",, "T&amp;T1", "AGR", 324)</f>
        <v>Vendedor</v>
      </c>
    </row>
    <row r="333" spans="1:10" x14ac:dyDescent="0.25">
      <c r="A333" s="44" t="str">
        <f>RTD("rtdtrading.rtdserver",, "T&amp;T0", "DAT", 325)</f>
        <v>19:04:50.693</v>
      </c>
      <c r="B333" s="27">
        <f>RTD("rtdtrading.rtdserver",, "T&amp;T0", "PRE", 325)</f>
        <v>7348.5</v>
      </c>
      <c r="C333" s="28">
        <f>RTD("rtdtrading.rtdserver",, "T&amp;T0", "QUL", 325)</f>
        <v>3</v>
      </c>
      <c r="D333" s="28" t="str">
        <f>RTD("rtdtrading.rtdserver",, "T&amp;T0", "AGR", 325)</f>
        <v>Comprador</v>
      </c>
      <c r="G333" s="36" t="str">
        <f>RTD("rtdtrading.rtdserver",, "T&amp;T1", "DAT", 325)</f>
        <v>19:05:07.924</v>
      </c>
      <c r="H333" s="37">
        <f>RTD("rtdtrading.rtdserver",, "T&amp;T1", "PRE", 325)</f>
        <v>7346.75</v>
      </c>
      <c r="I333" s="38">
        <f>RTD("rtdtrading.rtdserver",, "T&amp;T1", "QUL", 325)</f>
        <v>8</v>
      </c>
      <c r="J333" s="39" t="str">
        <f>RTD("rtdtrading.rtdserver",, "T&amp;T1", "AGR", 325)</f>
        <v>Vendedor</v>
      </c>
    </row>
    <row r="334" spans="1:10" x14ac:dyDescent="0.25">
      <c r="A334" s="44" t="str">
        <f>RTD("rtdtrading.rtdserver",, "T&amp;T0", "DAT", 326)</f>
        <v>19:04:48.320</v>
      </c>
      <c r="B334" s="27">
        <f>RTD("rtdtrading.rtdserver",, "T&amp;T0", "PRE", 326)</f>
        <v>7348.5</v>
      </c>
      <c r="C334" s="28">
        <f>RTD("rtdtrading.rtdserver",, "T&amp;T0", "QUL", 326)</f>
        <v>2</v>
      </c>
      <c r="D334" s="28" t="str">
        <f>RTD("rtdtrading.rtdserver",, "T&amp;T0", "AGR", 326)</f>
        <v>Comprador</v>
      </c>
      <c r="G334" s="36" t="str">
        <f>RTD("rtdtrading.rtdserver",, "T&amp;T1", "DAT", 326)</f>
        <v>19:05:07.924</v>
      </c>
      <c r="H334" s="37">
        <f>RTD("rtdtrading.rtdserver",, "T&amp;T1", "PRE", 326)</f>
        <v>7347</v>
      </c>
      <c r="I334" s="38">
        <f>RTD("rtdtrading.rtdserver",, "T&amp;T1", "QUL", 326)</f>
        <v>5</v>
      </c>
      <c r="J334" s="39" t="str">
        <f>RTD("rtdtrading.rtdserver",, "T&amp;T1", "AGR", 326)</f>
        <v>Vendedor</v>
      </c>
    </row>
    <row r="335" spans="1:10" x14ac:dyDescent="0.25">
      <c r="A335" s="44" t="str">
        <f>RTD("rtdtrading.rtdserver",, "T&amp;T0", "DAT", 327)</f>
        <v>19:04:48.297</v>
      </c>
      <c r="B335" s="27">
        <f>RTD("rtdtrading.rtdserver",, "T&amp;T0", "PRE", 327)</f>
        <v>7348.5</v>
      </c>
      <c r="C335" s="28">
        <f>RTD("rtdtrading.rtdserver",, "T&amp;T0", "QUL", 327)</f>
        <v>1</v>
      </c>
      <c r="D335" s="28" t="str">
        <f>RTD("rtdtrading.rtdserver",, "T&amp;T0", "AGR", 327)</f>
        <v>Comprador</v>
      </c>
      <c r="G335" s="36" t="str">
        <f>RTD("rtdtrading.rtdserver",, "T&amp;T1", "DAT", 327)</f>
        <v>19:05:07.924</v>
      </c>
      <c r="H335" s="37">
        <f>RTD("rtdtrading.rtdserver",, "T&amp;T1", "PRE", 327)</f>
        <v>7347.25</v>
      </c>
      <c r="I335" s="38">
        <f>RTD("rtdtrading.rtdserver",, "T&amp;T1", "QUL", 327)</f>
        <v>3</v>
      </c>
      <c r="J335" s="39" t="str">
        <f>RTD("rtdtrading.rtdserver",, "T&amp;T1", "AGR", 327)</f>
        <v>Vendedor</v>
      </c>
    </row>
    <row r="336" spans="1:10" x14ac:dyDescent="0.25">
      <c r="A336" s="44" t="str">
        <f>RTD("rtdtrading.rtdserver",, "T&amp;T0", "DAT", 328)</f>
        <v>19:04:48.297</v>
      </c>
      <c r="B336" s="27">
        <f>RTD("rtdtrading.rtdserver",, "T&amp;T0", "PRE", 328)</f>
        <v>7348.5</v>
      </c>
      <c r="C336" s="28">
        <f>RTD("rtdtrading.rtdserver",, "T&amp;T0", "QUL", 328)</f>
        <v>1</v>
      </c>
      <c r="D336" s="28" t="str">
        <f>RTD("rtdtrading.rtdserver",, "T&amp;T0", "AGR", 328)</f>
        <v>Comprador</v>
      </c>
      <c r="G336" s="36" t="str">
        <f>RTD("rtdtrading.rtdserver",, "T&amp;T1", "DAT", 328)</f>
        <v>19:05:07.924</v>
      </c>
      <c r="H336" s="37">
        <f>RTD("rtdtrading.rtdserver",, "T&amp;T1", "PRE", 328)</f>
        <v>7347.5</v>
      </c>
      <c r="I336" s="38">
        <f>RTD("rtdtrading.rtdserver",, "T&amp;T1", "QUL", 328)</f>
        <v>6</v>
      </c>
      <c r="J336" s="39" t="str">
        <f>RTD("rtdtrading.rtdserver",, "T&amp;T1", "AGR", 328)</f>
        <v>Vendedor</v>
      </c>
    </row>
    <row r="337" spans="1:10" x14ac:dyDescent="0.25">
      <c r="A337" s="44" t="str">
        <f>RTD("rtdtrading.rtdserver",, "T&amp;T0", "DAT", 329)</f>
        <v>19:04:39.021</v>
      </c>
      <c r="B337" s="27">
        <f>RTD("rtdtrading.rtdserver",, "T&amp;T0", "PRE", 329)</f>
        <v>7348.75</v>
      </c>
      <c r="C337" s="28">
        <f>RTD("rtdtrading.rtdserver",, "T&amp;T0", "QUL", 329)</f>
        <v>2</v>
      </c>
      <c r="D337" s="28" t="str">
        <f>RTD("rtdtrading.rtdserver",, "T&amp;T0", "AGR", 329)</f>
        <v>Comprador</v>
      </c>
      <c r="G337" s="36" t="str">
        <f>RTD("rtdtrading.rtdserver",, "T&amp;T1", "DAT", 329)</f>
        <v>19:05:07.924</v>
      </c>
      <c r="H337" s="37">
        <f>RTD("rtdtrading.rtdserver",, "T&amp;T1", "PRE", 329)</f>
        <v>7347.75</v>
      </c>
      <c r="I337" s="38">
        <f>RTD("rtdtrading.rtdserver",, "T&amp;T1", "QUL", 329)</f>
        <v>3</v>
      </c>
      <c r="J337" s="39" t="str">
        <f>RTD("rtdtrading.rtdserver",, "T&amp;T1", "AGR", 329)</f>
        <v>Vendedor</v>
      </c>
    </row>
    <row r="338" spans="1:10" x14ac:dyDescent="0.25">
      <c r="A338" s="44" t="str">
        <f>RTD("rtdtrading.rtdserver",, "T&amp;T0", "DAT", 330)</f>
        <v>19:04:39.016</v>
      </c>
      <c r="B338" s="27">
        <f>RTD("rtdtrading.rtdserver",, "T&amp;T0", "PRE", 330)</f>
        <v>7348.5</v>
      </c>
      <c r="C338" s="28">
        <f>RTD("rtdtrading.rtdserver",, "T&amp;T0", "QUL", 330)</f>
        <v>6</v>
      </c>
      <c r="D338" s="28" t="str">
        <f>RTD("rtdtrading.rtdserver",, "T&amp;T0", "AGR", 330)</f>
        <v>Comprador</v>
      </c>
      <c r="G338" s="36" t="str">
        <f>RTD("rtdtrading.rtdserver",, "T&amp;T1", "DAT", 330)</f>
        <v>19:05:07.924</v>
      </c>
      <c r="H338" s="37">
        <f>RTD("rtdtrading.rtdserver",, "T&amp;T1", "PRE", 330)</f>
        <v>7348</v>
      </c>
      <c r="I338" s="38">
        <f>RTD("rtdtrading.rtdserver",, "T&amp;T1", "QUL", 330)</f>
        <v>15</v>
      </c>
      <c r="J338" s="39" t="str">
        <f>RTD("rtdtrading.rtdserver",, "T&amp;T1", "AGR", 330)</f>
        <v>Vendedor</v>
      </c>
    </row>
    <row r="339" spans="1:10" x14ac:dyDescent="0.25">
      <c r="A339" s="44" t="str">
        <f>RTD("rtdtrading.rtdserver",, "T&amp;T0", "DAT", 331)</f>
        <v>19:04:30.816</v>
      </c>
      <c r="B339" s="27">
        <f>RTD("rtdtrading.rtdserver",, "T&amp;T0", "PRE", 331)</f>
        <v>7348.25</v>
      </c>
      <c r="C339" s="28">
        <f>RTD("rtdtrading.rtdserver",, "T&amp;T0", "QUL", 331)</f>
        <v>1</v>
      </c>
      <c r="D339" s="28" t="str">
        <f>RTD("rtdtrading.rtdserver",, "T&amp;T0", "AGR", 331)</f>
        <v>Comprador</v>
      </c>
      <c r="G339" s="36" t="str">
        <f>RTD("rtdtrading.rtdserver",, "T&amp;T1", "DAT", 331)</f>
        <v>19:05:07.087</v>
      </c>
      <c r="H339" s="37">
        <f>RTD("rtdtrading.rtdserver",, "T&amp;T1", "PRE", 331)</f>
        <v>7348.25</v>
      </c>
      <c r="I339" s="38">
        <f>RTD("rtdtrading.rtdserver",, "T&amp;T1", "QUL", 331)</f>
        <v>2</v>
      </c>
      <c r="J339" s="39" t="str">
        <f>RTD("rtdtrading.rtdserver",, "T&amp;T1", "AGR", 331)</f>
        <v>Vendedor</v>
      </c>
    </row>
    <row r="340" spans="1:10" x14ac:dyDescent="0.25">
      <c r="A340" s="44" t="str">
        <f>RTD("rtdtrading.rtdserver",, "T&amp;T0", "DAT", 332)</f>
        <v>19:04:30.045</v>
      </c>
      <c r="B340" s="27">
        <f>RTD("rtdtrading.rtdserver",, "T&amp;T0", "PRE", 332)</f>
        <v>7348.5</v>
      </c>
      <c r="C340" s="28">
        <f>RTD("rtdtrading.rtdserver",, "T&amp;T0", "QUL", 332)</f>
        <v>1</v>
      </c>
      <c r="D340" s="28" t="str">
        <f>RTD("rtdtrading.rtdserver",, "T&amp;T0", "AGR", 332)</f>
        <v>Comprador</v>
      </c>
      <c r="G340" s="36" t="str">
        <f>RTD("rtdtrading.rtdserver",, "T&amp;T1", "DAT", 332)</f>
        <v>19:05:06.815</v>
      </c>
      <c r="H340" s="37">
        <f>RTD("rtdtrading.rtdserver",, "T&amp;T1", "PRE", 332)</f>
        <v>7348</v>
      </c>
      <c r="I340" s="38">
        <f>RTD("rtdtrading.rtdserver",, "T&amp;T1", "QUL", 332)</f>
        <v>2</v>
      </c>
      <c r="J340" s="39" t="str">
        <f>RTD("rtdtrading.rtdserver",, "T&amp;T1", "AGR", 332)</f>
        <v>Vendedor</v>
      </c>
    </row>
    <row r="341" spans="1:10" x14ac:dyDescent="0.25">
      <c r="A341" s="44" t="str">
        <f>RTD("rtdtrading.rtdserver",, "T&amp;T0", "DAT", 333)</f>
        <v>19:04:29.800</v>
      </c>
      <c r="B341" s="27">
        <f>RTD("rtdtrading.rtdserver",, "T&amp;T0", "PRE", 333)</f>
        <v>7348.25</v>
      </c>
      <c r="C341" s="28">
        <f>RTD("rtdtrading.rtdserver",, "T&amp;T0", "QUL", 333)</f>
        <v>1</v>
      </c>
      <c r="D341" s="28" t="str">
        <f>RTD("rtdtrading.rtdserver",, "T&amp;T0", "AGR", 333)</f>
        <v>Comprador</v>
      </c>
      <c r="G341" s="36" t="str">
        <f>RTD("rtdtrading.rtdserver",, "T&amp;T1", "DAT", 333)</f>
        <v>19:05:06.790</v>
      </c>
      <c r="H341" s="37">
        <f>RTD("rtdtrading.rtdserver",, "T&amp;T1", "PRE", 333)</f>
        <v>7348</v>
      </c>
      <c r="I341" s="38">
        <f>RTD("rtdtrading.rtdserver",, "T&amp;T1", "QUL", 333)</f>
        <v>2</v>
      </c>
      <c r="J341" s="39" t="str">
        <f>RTD("rtdtrading.rtdserver",, "T&amp;T1", "AGR", 333)</f>
        <v>Vendedor</v>
      </c>
    </row>
    <row r="342" spans="1:10" x14ac:dyDescent="0.25">
      <c r="A342" s="44" t="str">
        <f>RTD("rtdtrading.rtdserver",, "T&amp;T0", "DAT", 334)</f>
        <v>19:04:25.010</v>
      </c>
      <c r="B342" s="27">
        <f>RTD("rtdtrading.rtdserver",, "T&amp;T0", "PRE", 334)</f>
        <v>7348.25</v>
      </c>
      <c r="C342" s="28">
        <f>RTD("rtdtrading.rtdserver",, "T&amp;T0", "QUL", 334)</f>
        <v>1</v>
      </c>
      <c r="D342" s="28" t="str">
        <f>RTD("rtdtrading.rtdserver",, "T&amp;T0", "AGR", 334)</f>
        <v>Comprador</v>
      </c>
      <c r="G342" s="36" t="str">
        <f>RTD("rtdtrading.rtdserver",, "T&amp;T1", "DAT", 334)</f>
        <v>19:05:06.743</v>
      </c>
      <c r="H342" s="37">
        <f>RTD("rtdtrading.rtdserver",, "T&amp;T1", "PRE", 334)</f>
        <v>7347.75</v>
      </c>
      <c r="I342" s="38">
        <f>RTD("rtdtrading.rtdserver",, "T&amp;T1", "QUL", 334)</f>
        <v>1</v>
      </c>
      <c r="J342" s="39" t="str">
        <f>RTD("rtdtrading.rtdserver",, "T&amp;T1", "AGR", 334)</f>
        <v>Vendedor</v>
      </c>
    </row>
    <row r="343" spans="1:10" x14ac:dyDescent="0.25">
      <c r="A343" s="44" t="str">
        <f>RTD("rtdtrading.rtdserver",, "T&amp;T0", "DAT", 335)</f>
        <v>19:04:21.323</v>
      </c>
      <c r="B343" s="27">
        <f>RTD("rtdtrading.rtdserver",, "T&amp;T0", "PRE", 335)</f>
        <v>7348.5</v>
      </c>
      <c r="C343" s="28">
        <f>RTD("rtdtrading.rtdserver",, "T&amp;T0", "QUL", 335)</f>
        <v>1</v>
      </c>
      <c r="D343" s="28" t="str">
        <f>RTD("rtdtrading.rtdserver",, "T&amp;T0", "AGR", 335)</f>
        <v>Comprador</v>
      </c>
      <c r="G343" s="36" t="str">
        <f>RTD("rtdtrading.rtdserver",, "T&amp;T1", "DAT", 335)</f>
        <v>19:05:06.741</v>
      </c>
      <c r="H343" s="37">
        <f>RTD("rtdtrading.rtdserver",, "T&amp;T1", "PRE", 335)</f>
        <v>7348</v>
      </c>
      <c r="I343" s="38">
        <f>RTD("rtdtrading.rtdserver",, "T&amp;T1", "QUL", 335)</f>
        <v>1</v>
      </c>
      <c r="J343" s="39" t="str">
        <f>RTD("rtdtrading.rtdserver",, "T&amp;T1", "AGR", 335)</f>
        <v>Vendedor</v>
      </c>
    </row>
    <row r="344" spans="1:10" x14ac:dyDescent="0.25">
      <c r="A344" s="44" t="str">
        <f>RTD("rtdtrading.rtdserver",, "T&amp;T0", "DAT", 336)</f>
        <v>19:04:19.220</v>
      </c>
      <c r="B344" s="27">
        <f>RTD("rtdtrading.rtdserver",, "T&amp;T0", "PRE", 336)</f>
        <v>7349</v>
      </c>
      <c r="C344" s="28">
        <f>RTD("rtdtrading.rtdserver",, "T&amp;T0", "QUL", 336)</f>
        <v>1</v>
      </c>
      <c r="D344" s="28" t="str">
        <f>RTD("rtdtrading.rtdserver",, "T&amp;T0", "AGR", 336)</f>
        <v>Comprador</v>
      </c>
      <c r="G344" s="36" t="str">
        <f>RTD("rtdtrading.rtdserver",, "T&amp;T1", "DAT", 336)</f>
        <v>19:05:06.741</v>
      </c>
      <c r="H344" s="37">
        <f>RTD("rtdtrading.rtdserver",, "T&amp;T1", "PRE", 336)</f>
        <v>7348</v>
      </c>
      <c r="I344" s="38">
        <f>RTD("rtdtrading.rtdserver",, "T&amp;T1", "QUL", 336)</f>
        <v>1</v>
      </c>
      <c r="J344" s="39" t="str">
        <f>RTD("rtdtrading.rtdserver",, "T&amp;T1", "AGR", 336)</f>
        <v>Vendedor</v>
      </c>
    </row>
    <row r="345" spans="1:10" x14ac:dyDescent="0.25">
      <c r="A345" s="44" t="str">
        <f>RTD("rtdtrading.rtdserver",, "T&amp;T0", "DAT", 337)</f>
        <v>19:04:19.220</v>
      </c>
      <c r="B345" s="27">
        <f>RTD("rtdtrading.rtdserver",, "T&amp;T0", "PRE", 337)</f>
        <v>7348.75</v>
      </c>
      <c r="C345" s="28">
        <f>RTD("rtdtrading.rtdserver",, "T&amp;T0", "QUL", 337)</f>
        <v>1</v>
      </c>
      <c r="D345" s="28" t="str">
        <f>RTD("rtdtrading.rtdserver",, "T&amp;T0", "AGR", 337)</f>
        <v>Comprador</v>
      </c>
      <c r="G345" s="36" t="str">
        <f>RTD("rtdtrading.rtdserver",, "T&amp;T1", "DAT", 337)</f>
        <v>19:05:06.740</v>
      </c>
      <c r="H345" s="37">
        <f>RTD("rtdtrading.rtdserver",, "T&amp;T1", "PRE", 337)</f>
        <v>7347.5</v>
      </c>
      <c r="I345" s="38">
        <f>RTD("rtdtrading.rtdserver",, "T&amp;T1", "QUL", 337)</f>
        <v>1</v>
      </c>
      <c r="J345" s="39" t="str">
        <f>RTD("rtdtrading.rtdserver",, "T&amp;T1", "AGR", 337)</f>
        <v>Vendedor</v>
      </c>
    </row>
    <row r="346" spans="1:10" x14ac:dyDescent="0.25">
      <c r="A346" s="44" t="str">
        <f>RTD("rtdtrading.rtdserver",, "T&amp;T0", "DAT", 338)</f>
        <v>19:04:18.496</v>
      </c>
      <c r="B346" s="27">
        <f>RTD("rtdtrading.rtdserver",, "T&amp;T0", "PRE", 338)</f>
        <v>7348.75</v>
      </c>
      <c r="C346" s="28">
        <f>RTD("rtdtrading.rtdserver",, "T&amp;T0", "QUL", 338)</f>
        <v>1</v>
      </c>
      <c r="D346" s="28" t="str">
        <f>RTD("rtdtrading.rtdserver",, "T&amp;T0", "AGR", 338)</f>
        <v>Comprador</v>
      </c>
      <c r="G346" s="36" t="str">
        <f>RTD("rtdtrading.rtdserver",, "T&amp;T1", "DAT", 338)</f>
        <v>19:05:06.740</v>
      </c>
      <c r="H346" s="37">
        <f>RTD("rtdtrading.rtdserver",, "T&amp;T1", "PRE", 338)</f>
        <v>7347</v>
      </c>
      <c r="I346" s="38">
        <f>RTD("rtdtrading.rtdserver",, "T&amp;T1", "QUL", 338)</f>
        <v>4</v>
      </c>
      <c r="J346" s="39" t="str">
        <f>RTD("rtdtrading.rtdserver",, "T&amp;T1", "AGR", 338)</f>
        <v>Vendedor</v>
      </c>
    </row>
    <row r="347" spans="1:10" x14ac:dyDescent="0.25">
      <c r="A347" s="44" t="str">
        <f>RTD("rtdtrading.rtdserver",, "T&amp;T0", "DAT", 339)</f>
        <v>19:04:12.972</v>
      </c>
      <c r="B347" s="27">
        <f>RTD("rtdtrading.rtdserver",, "T&amp;T0", "PRE", 339)</f>
        <v>7348.75</v>
      </c>
      <c r="C347" s="28">
        <f>RTD("rtdtrading.rtdserver",, "T&amp;T0", "QUL", 339)</f>
        <v>2</v>
      </c>
      <c r="D347" s="28" t="str">
        <f>RTD("rtdtrading.rtdserver",, "T&amp;T0", "AGR", 339)</f>
        <v>Comprador</v>
      </c>
      <c r="G347" s="36" t="str">
        <f>RTD("rtdtrading.rtdserver",, "T&amp;T1", "DAT", 339)</f>
        <v>19:05:06.740</v>
      </c>
      <c r="H347" s="37">
        <f>RTD("rtdtrading.rtdserver",, "T&amp;T1", "PRE", 339)</f>
        <v>7347</v>
      </c>
      <c r="I347" s="38">
        <f>RTD("rtdtrading.rtdserver",, "T&amp;T1", "QUL", 339)</f>
        <v>1</v>
      </c>
      <c r="J347" s="39" t="str">
        <f>RTD("rtdtrading.rtdserver",, "T&amp;T1", "AGR", 339)</f>
        <v>Vendedor</v>
      </c>
    </row>
    <row r="348" spans="1:10" x14ac:dyDescent="0.25">
      <c r="A348" s="44" t="str">
        <f>RTD("rtdtrading.rtdserver",, "T&amp;T0", "DAT", 340)</f>
        <v>19:04:11.148</v>
      </c>
      <c r="B348" s="27">
        <f>RTD("rtdtrading.rtdserver",, "T&amp;T0", "PRE", 340)</f>
        <v>7348.75</v>
      </c>
      <c r="C348" s="28">
        <f>RTD("rtdtrading.rtdserver",, "T&amp;T0", "QUL", 340)</f>
        <v>1</v>
      </c>
      <c r="D348" s="28" t="str">
        <f>RTD("rtdtrading.rtdserver",, "T&amp;T0", "AGR", 340)</f>
        <v>Comprador</v>
      </c>
      <c r="G348" s="36" t="str">
        <f>RTD("rtdtrading.rtdserver",, "T&amp;T1", "DAT", 340)</f>
        <v>19:05:06.740</v>
      </c>
      <c r="H348" s="37">
        <f>RTD("rtdtrading.rtdserver",, "T&amp;T1", "PRE", 340)</f>
        <v>7347</v>
      </c>
      <c r="I348" s="38">
        <f>RTD("rtdtrading.rtdserver",, "T&amp;T1", "QUL", 340)</f>
        <v>2</v>
      </c>
      <c r="J348" s="39" t="str">
        <f>RTD("rtdtrading.rtdserver",, "T&amp;T1", "AGR", 340)</f>
        <v>Vendedor</v>
      </c>
    </row>
    <row r="349" spans="1:10" x14ac:dyDescent="0.25">
      <c r="A349" s="44" t="str">
        <f>RTD("rtdtrading.rtdserver",, "T&amp;T0", "DAT", 341)</f>
        <v>19:04:09.148</v>
      </c>
      <c r="B349" s="27">
        <f>RTD("rtdtrading.rtdserver",, "T&amp;T0", "PRE", 341)</f>
        <v>7348.75</v>
      </c>
      <c r="C349" s="28">
        <f>RTD("rtdtrading.rtdserver",, "T&amp;T0", "QUL", 341)</f>
        <v>1</v>
      </c>
      <c r="D349" s="28" t="str">
        <f>RTD("rtdtrading.rtdserver",, "T&amp;T0", "AGR", 341)</f>
        <v>Comprador</v>
      </c>
      <c r="G349" s="36" t="str">
        <f>RTD("rtdtrading.rtdserver",, "T&amp;T1", "DAT", 341)</f>
        <v>19:05:06.740</v>
      </c>
      <c r="H349" s="37">
        <f>RTD("rtdtrading.rtdserver",, "T&amp;T1", "PRE", 341)</f>
        <v>7347.25</v>
      </c>
      <c r="I349" s="38">
        <f>RTD("rtdtrading.rtdserver",, "T&amp;T1", "QUL", 341)</f>
        <v>6</v>
      </c>
      <c r="J349" s="39" t="str">
        <f>RTD("rtdtrading.rtdserver",, "T&amp;T1", "AGR", 341)</f>
        <v>Vendedor</v>
      </c>
    </row>
    <row r="350" spans="1:10" x14ac:dyDescent="0.25">
      <c r="A350" s="44" t="str">
        <f>RTD("rtdtrading.rtdserver",, "T&amp;T0", "DAT", 342)</f>
        <v>19:04:07.935</v>
      </c>
      <c r="B350" s="27">
        <f>RTD("rtdtrading.rtdserver",, "T&amp;T0", "PRE", 342)</f>
        <v>7348.75</v>
      </c>
      <c r="C350" s="28">
        <f>RTD("rtdtrading.rtdserver",, "T&amp;T0", "QUL", 342)</f>
        <v>5</v>
      </c>
      <c r="D350" s="28" t="str">
        <f>RTD("rtdtrading.rtdserver",, "T&amp;T0", "AGR", 342)</f>
        <v>Comprador</v>
      </c>
      <c r="G350" s="36" t="str">
        <f>RTD("rtdtrading.rtdserver",, "T&amp;T1", "DAT", 342)</f>
        <v>19:05:06.740</v>
      </c>
      <c r="H350" s="37">
        <f>RTD("rtdtrading.rtdserver",, "T&amp;T1", "PRE", 342)</f>
        <v>7347.5</v>
      </c>
      <c r="I350" s="38">
        <f>RTD("rtdtrading.rtdserver",, "T&amp;T1", "QUL", 342)</f>
        <v>6</v>
      </c>
      <c r="J350" s="39" t="str">
        <f>RTD("rtdtrading.rtdserver",, "T&amp;T1", "AGR", 342)</f>
        <v>Vendedor</v>
      </c>
    </row>
    <row r="351" spans="1:10" x14ac:dyDescent="0.25">
      <c r="A351" s="44" t="str">
        <f>RTD("rtdtrading.rtdserver",, "T&amp;T0", "DAT", 343)</f>
        <v>19:04:05.085</v>
      </c>
      <c r="B351" s="27">
        <f>RTD("rtdtrading.rtdserver",, "T&amp;T0", "PRE", 343)</f>
        <v>7348.75</v>
      </c>
      <c r="C351" s="28">
        <f>RTD("rtdtrading.rtdserver",, "T&amp;T0", "QUL", 343)</f>
        <v>1</v>
      </c>
      <c r="D351" s="28" t="str">
        <f>RTD("rtdtrading.rtdserver",, "T&amp;T0", "AGR", 343)</f>
        <v>Comprador</v>
      </c>
      <c r="G351" s="36" t="str">
        <f>RTD("rtdtrading.rtdserver",, "T&amp;T1", "DAT", 343)</f>
        <v>19:05:06.740</v>
      </c>
      <c r="H351" s="37">
        <f>RTD("rtdtrading.rtdserver",, "T&amp;T1", "PRE", 343)</f>
        <v>7347.75</v>
      </c>
      <c r="I351" s="38">
        <f>RTD("rtdtrading.rtdserver",, "T&amp;T1", "QUL", 343)</f>
        <v>6</v>
      </c>
      <c r="J351" s="39" t="str">
        <f>RTD("rtdtrading.rtdserver",, "T&amp;T1", "AGR", 343)</f>
        <v>Vendedor</v>
      </c>
    </row>
    <row r="352" spans="1:10" x14ac:dyDescent="0.25">
      <c r="A352" s="44" t="str">
        <f>RTD("rtdtrading.rtdserver",, "T&amp;T0", "DAT", 344)</f>
        <v>19:04:05.081</v>
      </c>
      <c r="B352" s="27">
        <f>RTD("rtdtrading.rtdserver",, "T&amp;T0", "PRE", 344)</f>
        <v>7348.75</v>
      </c>
      <c r="C352" s="28">
        <f>RTD("rtdtrading.rtdserver",, "T&amp;T0", "QUL", 344)</f>
        <v>2</v>
      </c>
      <c r="D352" s="28" t="str">
        <f>RTD("rtdtrading.rtdserver",, "T&amp;T0", "AGR", 344)</f>
        <v>Comprador</v>
      </c>
      <c r="G352" s="36" t="str">
        <f>RTD("rtdtrading.rtdserver",, "T&amp;T1", "DAT", 344)</f>
        <v>19:05:06.740</v>
      </c>
      <c r="H352" s="37">
        <f>RTD("rtdtrading.rtdserver",, "T&amp;T1", "PRE", 344)</f>
        <v>7348</v>
      </c>
      <c r="I352" s="38">
        <f>RTD("rtdtrading.rtdserver",, "T&amp;T1", "QUL", 344)</f>
        <v>3</v>
      </c>
      <c r="J352" s="39" t="str">
        <f>RTD("rtdtrading.rtdserver",, "T&amp;T1", "AGR", 344)</f>
        <v>Vendedor</v>
      </c>
    </row>
    <row r="353" spans="1:10" x14ac:dyDescent="0.25">
      <c r="A353" s="44" t="str">
        <f>RTD("rtdtrading.rtdserver",, "T&amp;T0", "DAT", 345)</f>
        <v>19:04:03.881</v>
      </c>
      <c r="B353" s="27">
        <f>RTD("rtdtrading.rtdserver",, "T&amp;T0", "PRE", 345)</f>
        <v>7348.5</v>
      </c>
      <c r="C353" s="28">
        <f>RTD("rtdtrading.rtdserver",, "T&amp;T0", "QUL", 345)</f>
        <v>2</v>
      </c>
      <c r="D353" s="28" t="str">
        <f>RTD("rtdtrading.rtdserver",, "T&amp;T0", "AGR", 345)</f>
        <v>Comprador</v>
      </c>
      <c r="G353" s="36" t="str">
        <f>RTD("rtdtrading.rtdserver",, "T&amp;T1", "DAT", 345)</f>
        <v>19:05:06.740</v>
      </c>
      <c r="H353" s="37">
        <f>RTD("rtdtrading.rtdserver",, "T&amp;T1", "PRE", 345)</f>
        <v>7348.25</v>
      </c>
      <c r="I353" s="38">
        <f>RTD("rtdtrading.rtdserver",, "T&amp;T1", "QUL", 345)</f>
        <v>17</v>
      </c>
      <c r="J353" s="39" t="str">
        <f>RTD("rtdtrading.rtdserver",, "T&amp;T1", "AGR", 345)</f>
        <v>Vendedor</v>
      </c>
    </row>
    <row r="354" spans="1:10" x14ac:dyDescent="0.25">
      <c r="A354" s="44" t="str">
        <f>RTD("rtdtrading.rtdserver",, "T&amp;T0", "DAT", 346)</f>
        <v>19:04:03.770</v>
      </c>
      <c r="B354" s="27">
        <f>RTD("rtdtrading.rtdserver",, "T&amp;T0", "PRE", 346)</f>
        <v>7348.75</v>
      </c>
      <c r="C354" s="28">
        <f>RTD("rtdtrading.rtdserver",, "T&amp;T0", "QUL", 346)</f>
        <v>1</v>
      </c>
      <c r="D354" s="28" t="str">
        <f>RTD("rtdtrading.rtdserver",, "T&amp;T0", "AGR", 346)</f>
        <v>Comprador</v>
      </c>
      <c r="G354" s="36" t="str">
        <f>RTD("rtdtrading.rtdserver",, "T&amp;T1", "DAT", 346)</f>
        <v>19:05:05.261</v>
      </c>
      <c r="H354" s="37">
        <f>RTD("rtdtrading.rtdserver",, "T&amp;T1", "PRE", 346)</f>
        <v>7348.25</v>
      </c>
      <c r="I354" s="38">
        <f>RTD("rtdtrading.rtdserver",, "T&amp;T1", "QUL", 346)</f>
        <v>1</v>
      </c>
      <c r="J354" s="39" t="str">
        <f>RTD("rtdtrading.rtdserver",, "T&amp;T1", "AGR", 346)</f>
        <v>Vendedor</v>
      </c>
    </row>
    <row r="355" spans="1:10" x14ac:dyDescent="0.25">
      <c r="A355" s="44" t="str">
        <f>RTD("rtdtrading.rtdserver",, "T&amp;T0", "DAT", 347)</f>
        <v>19:03:59.173</v>
      </c>
      <c r="B355" s="27">
        <f>RTD("rtdtrading.rtdserver",, "T&amp;T0", "PRE", 347)</f>
        <v>7349</v>
      </c>
      <c r="C355" s="28">
        <f>RTD("rtdtrading.rtdserver",, "T&amp;T0", "QUL", 347)</f>
        <v>1</v>
      </c>
      <c r="D355" s="28" t="str">
        <f>RTD("rtdtrading.rtdserver",, "T&amp;T0", "AGR", 347)</f>
        <v>Comprador</v>
      </c>
      <c r="G355" s="36" t="str">
        <f>RTD("rtdtrading.rtdserver",, "T&amp;T1", "DAT", 347)</f>
        <v>19:05:05.145</v>
      </c>
      <c r="H355" s="37">
        <f>RTD("rtdtrading.rtdserver",, "T&amp;T1", "PRE", 347)</f>
        <v>7348.25</v>
      </c>
      <c r="I355" s="38">
        <f>RTD("rtdtrading.rtdserver",, "T&amp;T1", "QUL", 347)</f>
        <v>1</v>
      </c>
      <c r="J355" s="39" t="str">
        <f>RTD("rtdtrading.rtdserver",, "T&amp;T1", "AGR", 347)</f>
        <v>Vendedor</v>
      </c>
    </row>
    <row r="356" spans="1:10" x14ac:dyDescent="0.25">
      <c r="A356" s="44" t="str">
        <f>RTD("rtdtrading.rtdserver",, "T&amp;T0", "DAT", 348)</f>
        <v>19:03:57.301</v>
      </c>
      <c r="B356" s="27">
        <f>RTD("rtdtrading.rtdserver",, "T&amp;T0", "PRE", 348)</f>
        <v>7348.75</v>
      </c>
      <c r="C356" s="28">
        <f>RTD("rtdtrading.rtdserver",, "T&amp;T0", "QUL", 348)</f>
        <v>1</v>
      </c>
      <c r="D356" s="28" t="str">
        <f>RTD("rtdtrading.rtdserver",, "T&amp;T0", "AGR", 348)</f>
        <v>Comprador</v>
      </c>
      <c r="G356" s="36" t="str">
        <f>RTD("rtdtrading.rtdserver",, "T&amp;T1", "DAT", 348)</f>
        <v>19:05:05.120</v>
      </c>
      <c r="H356" s="37">
        <f>RTD("rtdtrading.rtdserver",, "T&amp;T1", "PRE", 348)</f>
        <v>7348.5</v>
      </c>
      <c r="I356" s="38">
        <f>RTD("rtdtrading.rtdserver",, "T&amp;T1", "QUL", 348)</f>
        <v>7</v>
      </c>
      <c r="J356" s="39" t="str">
        <f>RTD("rtdtrading.rtdserver",, "T&amp;T1", "AGR", 348)</f>
        <v>Vendedor</v>
      </c>
    </row>
    <row r="357" spans="1:10" x14ac:dyDescent="0.25">
      <c r="A357" s="44" t="str">
        <f>RTD("rtdtrading.rtdserver",, "T&amp;T0", "DAT", 349)</f>
        <v>19:03:57.291</v>
      </c>
      <c r="B357" s="27">
        <f>RTD("rtdtrading.rtdserver",, "T&amp;T0", "PRE", 349)</f>
        <v>7348.75</v>
      </c>
      <c r="C357" s="28">
        <f>RTD("rtdtrading.rtdserver",, "T&amp;T0", "QUL", 349)</f>
        <v>1</v>
      </c>
      <c r="D357" s="28" t="str">
        <f>RTD("rtdtrading.rtdserver",, "T&amp;T0", "AGR", 349)</f>
        <v>Comprador</v>
      </c>
      <c r="G357" s="36" t="str">
        <f>RTD("rtdtrading.rtdserver",, "T&amp;T1", "DAT", 349)</f>
        <v>19:05:00.397</v>
      </c>
      <c r="H357" s="37">
        <f>RTD("rtdtrading.rtdserver",, "T&amp;T1", "PRE", 349)</f>
        <v>7348</v>
      </c>
      <c r="I357" s="38">
        <f>RTD("rtdtrading.rtdserver",, "T&amp;T1", "QUL", 349)</f>
        <v>1</v>
      </c>
      <c r="J357" s="39" t="str">
        <f>RTD("rtdtrading.rtdserver",, "T&amp;T1", "AGR", 349)</f>
        <v>Vendedor</v>
      </c>
    </row>
    <row r="358" spans="1:10" x14ac:dyDescent="0.25">
      <c r="A358" s="44" t="str">
        <f>RTD("rtdtrading.rtdserver",, "T&amp;T0", "DAT", 350)</f>
        <v>19:03:56.835</v>
      </c>
      <c r="B358" s="27">
        <f>RTD("rtdtrading.rtdserver",, "T&amp;T0", "PRE", 350)</f>
        <v>7348.75</v>
      </c>
      <c r="C358" s="28">
        <f>RTD("rtdtrading.rtdserver",, "T&amp;T0", "QUL", 350)</f>
        <v>1</v>
      </c>
      <c r="D358" s="28" t="str">
        <f>RTD("rtdtrading.rtdserver",, "T&amp;T0", "AGR", 350)</f>
        <v>Comprador</v>
      </c>
      <c r="G358" s="36" t="str">
        <f>RTD("rtdtrading.rtdserver",, "T&amp;T1", "DAT", 350)</f>
        <v>19:05:00.397</v>
      </c>
      <c r="H358" s="37">
        <f>RTD("rtdtrading.rtdserver",, "T&amp;T1", "PRE", 350)</f>
        <v>7348</v>
      </c>
      <c r="I358" s="38">
        <f>RTD("rtdtrading.rtdserver",, "T&amp;T1", "QUL", 350)</f>
        <v>1</v>
      </c>
      <c r="J358" s="39" t="str">
        <f>RTD("rtdtrading.rtdserver",, "T&amp;T1", "AGR", 350)</f>
        <v>Vendedor</v>
      </c>
    </row>
    <row r="359" spans="1:10" x14ac:dyDescent="0.25">
      <c r="A359" s="44" t="str">
        <f>RTD("rtdtrading.rtdserver",, "T&amp;T0", "DAT", 351)</f>
        <v>19:03:52.962</v>
      </c>
      <c r="B359" s="27">
        <f>RTD("rtdtrading.rtdserver",, "T&amp;T0", "PRE", 351)</f>
        <v>7349.25</v>
      </c>
      <c r="C359" s="28">
        <f>RTD("rtdtrading.rtdserver",, "T&amp;T0", "QUL", 351)</f>
        <v>2</v>
      </c>
      <c r="D359" s="28" t="str">
        <f>RTD("rtdtrading.rtdserver",, "T&amp;T0", "AGR", 351)</f>
        <v>Comprador</v>
      </c>
      <c r="G359" s="36" t="str">
        <f>RTD("rtdtrading.rtdserver",, "T&amp;T1", "DAT", 351)</f>
        <v>19:05:00.030</v>
      </c>
      <c r="H359" s="37">
        <f>RTD("rtdtrading.rtdserver",, "T&amp;T1", "PRE", 351)</f>
        <v>7348</v>
      </c>
      <c r="I359" s="38">
        <f>RTD("rtdtrading.rtdserver",, "T&amp;T1", "QUL", 351)</f>
        <v>2</v>
      </c>
      <c r="J359" s="39" t="str">
        <f>RTD("rtdtrading.rtdserver",, "T&amp;T1", "AGR", 351)</f>
        <v>Vendedor</v>
      </c>
    </row>
    <row r="360" spans="1:10" x14ac:dyDescent="0.25">
      <c r="A360" s="44" t="str">
        <f>RTD("rtdtrading.rtdserver",, "T&amp;T0", "DAT", 352)</f>
        <v>19:03:51.977</v>
      </c>
      <c r="B360" s="27">
        <f>RTD("rtdtrading.rtdserver",, "T&amp;T0", "PRE", 352)</f>
        <v>7349.25</v>
      </c>
      <c r="C360" s="28">
        <f>RTD("rtdtrading.rtdserver",, "T&amp;T0", "QUL", 352)</f>
        <v>1</v>
      </c>
      <c r="D360" s="28" t="str">
        <f>RTD("rtdtrading.rtdserver",, "T&amp;T0", "AGR", 352)</f>
        <v>Comprador</v>
      </c>
      <c r="G360" s="36" t="str">
        <f>RTD("rtdtrading.rtdserver",, "T&amp;T1", "DAT", 352)</f>
        <v>19:04:58.553</v>
      </c>
      <c r="H360" s="37">
        <f>RTD("rtdtrading.rtdserver",, "T&amp;T1", "PRE", 352)</f>
        <v>7348.25</v>
      </c>
      <c r="I360" s="38">
        <f>RTD("rtdtrading.rtdserver",, "T&amp;T1", "QUL", 352)</f>
        <v>8</v>
      </c>
      <c r="J360" s="39" t="str">
        <f>RTD("rtdtrading.rtdserver",, "T&amp;T1", "AGR", 352)</f>
        <v>Vendedor</v>
      </c>
    </row>
    <row r="361" spans="1:10" x14ac:dyDescent="0.25">
      <c r="A361" s="44" t="str">
        <f>RTD("rtdtrading.rtdserver",, "T&amp;T0", "DAT", 353)</f>
        <v>19:03:50.376</v>
      </c>
      <c r="B361" s="27">
        <f>RTD("rtdtrading.rtdserver",, "T&amp;T0", "PRE", 353)</f>
        <v>7349.25</v>
      </c>
      <c r="C361" s="28">
        <f>RTD("rtdtrading.rtdserver",, "T&amp;T0", "QUL", 353)</f>
        <v>4</v>
      </c>
      <c r="D361" s="28" t="str">
        <f>RTD("rtdtrading.rtdserver",, "T&amp;T0", "AGR", 353)</f>
        <v>Comprador</v>
      </c>
      <c r="G361" s="36" t="str">
        <f>RTD("rtdtrading.rtdserver",, "T&amp;T1", "DAT", 353)</f>
        <v>19:04:58.553</v>
      </c>
      <c r="H361" s="37">
        <f>RTD("rtdtrading.rtdserver",, "T&amp;T1", "PRE", 353)</f>
        <v>7348.25</v>
      </c>
      <c r="I361" s="38">
        <f>RTD("rtdtrading.rtdserver",, "T&amp;T1", "QUL", 353)</f>
        <v>4</v>
      </c>
      <c r="J361" s="39" t="str">
        <f>RTD("rtdtrading.rtdserver",, "T&amp;T1", "AGR", 353)</f>
        <v>Vendedor</v>
      </c>
    </row>
    <row r="362" spans="1:10" x14ac:dyDescent="0.25">
      <c r="A362" s="44" t="str">
        <f>RTD("rtdtrading.rtdserver",, "T&amp;T0", "DAT", 354)</f>
        <v>19:03:49.398</v>
      </c>
      <c r="B362" s="27">
        <f>RTD("rtdtrading.rtdserver",, "T&amp;T0", "PRE", 354)</f>
        <v>7349.25</v>
      </c>
      <c r="C362" s="28">
        <f>RTD("rtdtrading.rtdserver",, "T&amp;T0", "QUL", 354)</f>
        <v>1</v>
      </c>
      <c r="D362" s="28" t="str">
        <f>RTD("rtdtrading.rtdserver",, "T&amp;T0", "AGR", 354)</f>
        <v>Comprador</v>
      </c>
      <c r="G362" s="36" t="str">
        <f>RTD("rtdtrading.rtdserver",, "T&amp;T1", "DAT", 354)</f>
        <v>19:04:58.550</v>
      </c>
      <c r="H362" s="37">
        <f>RTD("rtdtrading.rtdserver",, "T&amp;T1", "PRE", 354)</f>
        <v>7348.25</v>
      </c>
      <c r="I362" s="38">
        <f>RTD("rtdtrading.rtdserver",, "T&amp;T1", "QUL", 354)</f>
        <v>1</v>
      </c>
      <c r="J362" s="39" t="str">
        <f>RTD("rtdtrading.rtdserver",, "T&amp;T1", "AGR", 354)</f>
        <v>Vendedor</v>
      </c>
    </row>
    <row r="363" spans="1:10" x14ac:dyDescent="0.25">
      <c r="A363" s="44" t="str">
        <f>RTD("rtdtrading.rtdserver",, "T&amp;T0", "DAT", 355)</f>
        <v>19:03:48.094</v>
      </c>
      <c r="B363" s="27">
        <f>RTD("rtdtrading.rtdserver",, "T&amp;T0", "PRE", 355)</f>
        <v>7349.25</v>
      </c>
      <c r="C363" s="28">
        <f>RTD("rtdtrading.rtdserver",, "T&amp;T0", "QUL", 355)</f>
        <v>1</v>
      </c>
      <c r="D363" s="28" t="str">
        <f>RTD("rtdtrading.rtdserver",, "T&amp;T0", "AGR", 355)</f>
        <v>Comprador</v>
      </c>
      <c r="G363" s="36" t="str">
        <f>RTD("rtdtrading.rtdserver",, "T&amp;T1", "DAT", 355)</f>
        <v>19:04:54.150</v>
      </c>
      <c r="H363" s="37">
        <f>RTD("rtdtrading.rtdserver",, "T&amp;T1", "PRE", 355)</f>
        <v>7348.25</v>
      </c>
      <c r="I363" s="38">
        <f>RTD("rtdtrading.rtdserver",, "T&amp;T1", "QUL", 355)</f>
        <v>1</v>
      </c>
      <c r="J363" s="39" t="str">
        <f>RTD("rtdtrading.rtdserver",, "T&amp;T1", "AGR", 355)</f>
        <v>Vendedor</v>
      </c>
    </row>
    <row r="364" spans="1:10" x14ac:dyDescent="0.25">
      <c r="A364" s="44" t="str">
        <f>RTD("rtdtrading.rtdserver",, "T&amp;T0", "DAT", 356)</f>
        <v>19:03:47.851</v>
      </c>
      <c r="B364" s="27">
        <f>RTD("rtdtrading.rtdserver",, "T&amp;T0", "PRE", 356)</f>
        <v>7349.25</v>
      </c>
      <c r="C364" s="28">
        <f>RTD("rtdtrading.rtdserver",, "T&amp;T0", "QUL", 356)</f>
        <v>1</v>
      </c>
      <c r="D364" s="28" t="str">
        <f>RTD("rtdtrading.rtdserver",, "T&amp;T0", "AGR", 356)</f>
        <v>Comprador</v>
      </c>
      <c r="G364" s="36" t="str">
        <f>RTD("rtdtrading.rtdserver",, "T&amp;T1", "DAT", 356)</f>
        <v>19:04:53.358</v>
      </c>
      <c r="H364" s="37">
        <f>RTD("rtdtrading.rtdserver",, "T&amp;T1", "PRE", 356)</f>
        <v>7348</v>
      </c>
      <c r="I364" s="38">
        <f>RTD("rtdtrading.rtdserver",, "T&amp;T1", "QUL", 356)</f>
        <v>1</v>
      </c>
      <c r="J364" s="39" t="str">
        <f>RTD("rtdtrading.rtdserver",, "T&amp;T1", "AGR", 356)</f>
        <v>Vendedor</v>
      </c>
    </row>
    <row r="365" spans="1:10" x14ac:dyDescent="0.25">
      <c r="A365" s="44" t="str">
        <f>RTD("rtdtrading.rtdserver",, "T&amp;T0", "DAT", 357)</f>
        <v>19:03:46.461</v>
      </c>
      <c r="B365" s="27">
        <f>RTD("rtdtrading.rtdserver",, "T&amp;T0", "PRE", 357)</f>
        <v>7349.25</v>
      </c>
      <c r="C365" s="28">
        <f>RTD("rtdtrading.rtdserver",, "T&amp;T0", "QUL", 357)</f>
        <v>1</v>
      </c>
      <c r="D365" s="28" t="str">
        <f>RTD("rtdtrading.rtdserver",, "T&amp;T0", "AGR", 357)</f>
        <v>Comprador</v>
      </c>
      <c r="G365" s="36" t="str">
        <f>RTD("rtdtrading.rtdserver",, "T&amp;T1", "DAT", 357)</f>
        <v>19:04:51.893</v>
      </c>
      <c r="H365" s="37">
        <f>RTD("rtdtrading.rtdserver",, "T&amp;T1", "PRE", 357)</f>
        <v>7348.25</v>
      </c>
      <c r="I365" s="38">
        <f>RTD("rtdtrading.rtdserver",, "T&amp;T1", "QUL", 357)</f>
        <v>3</v>
      </c>
      <c r="J365" s="39" t="str">
        <f>RTD("rtdtrading.rtdserver",, "T&amp;T1", "AGR", 357)</f>
        <v>Vendedor</v>
      </c>
    </row>
    <row r="366" spans="1:10" x14ac:dyDescent="0.25">
      <c r="A366" s="44" t="str">
        <f>RTD("rtdtrading.rtdserver",, "T&amp;T0", "DAT", 358)</f>
        <v>19:03:46.461</v>
      </c>
      <c r="B366" s="27">
        <f>RTD("rtdtrading.rtdserver",, "T&amp;T0", "PRE", 358)</f>
        <v>7349.25</v>
      </c>
      <c r="C366" s="28">
        <f>RTD("rtdtrading.rtdserver",, "T&amp;T0", "QUL", 358)</f>
        <v>1</v>
      </c>
      <c r="D366" s="28" t="str">
        <f>RTD("rtdtrading.rtdserver",, "T&amp;T0", "AGR", 358)</f>
        <v>Comprador</v>
      </c>
      <c r="G366" s="36" t="str">
        <f>RTD("rtdtrading.rtdserver",, "T&amp;T1", "DAT", 358)</f>
        <v>19:04:50.745</v>
      </c>
      <c r="H366" s="37">
        <f>RTD("rtdtrading.rtdserver",, "T&amp;T1", "PRE", 358)</f>
        <v>7348.5</v>
      </c>
      <c r="I366" s="38">
        <f>RTD("rtdtrading.rtdserver",, "T&amp;T1", "QUL", 358)</f>
        <v>1</v>
      </c>
      <c r="J366" s="39" t="str">
        <f>RTD("rtdtrading.rtdserver",, "T&amp;T1", "AGR", 358)</f>
        <v>Vendedor</v>
      </c>
    </row>
    <row r="367" spans="1:10" x14ac:dyDescent="0.25">
      <c r="A367" s="44" t="str">
        <f>RTD("rtdtrading.rtdserver",, "T&amp;T0", "DAT", 359)</f>
        <v>19:03:43.760</v>
      </c>
      <c r="B367" s="27">
        <f>RTD("rtdtrading.rtdserver",, "T&amp;T0", "PRE", 359)</f>
        <v>7349.25</v>
      </c>
      <c r="C367" s="28">
        <f>RTD("rtdtrading.rtdserver",, "T&amp;T0", "QUL", 359)</f>
        <v>1</v>
      </c>
      <c r="D367" s="28" t="str">
        <f>RTD("rtdtrading.rtdserver",, "T&amp;T0", "AGR", 359)</f>
        <v>Comprador</v>
      </c>
      <c r="G367" s="36" t="str">
        <f>RTD("rtdtrading.rtdserver",, "T&amp;T1", "DAT", 359)</f>
        <v>19:04:49.082</v>
      </c>
      <c r="H367" s="37">
        <f>RTD("rtdtrading.rtdserver",, "T&amp;T1", "PRE", 359)</f>
        <v>7348.25</v>
      </c>
      <c r="I367" s="38">
        <f>RTD("rtdtrading.rtdserver",, "T&amp;T1", "QUL", 359)</f>
        <v>1</v>
      </c>
      <c r="J367" s="39" t="str">
        <f>RTD("rtdtrading.rtdserver",, "T&amp;T1", "AGR", 359)</f>
        <v>Vendedor</v>
      </c>
    </row>
    <row r="368" spans="1:10" x14ac:dyDescent="0.25">
      <c r="A368" s="44" t="str">
        <f>RTD("rtdtrading.rtdserver",, "T&amp;T0", "DAT", 360)</f>
        <v>19:03:43.759</v>
      </c>
      <c r="B368" s="27">
        <f>RTD("rtdtrading.rtdserver",, "T&amp;T0", "PRE", 360)</f>
        <v>7349.25</v>
      </c>
      <c r="C368" s="28">
        <f>RTD("rtdtrading.rtdserver",, "T&amp;T0", "QUL", 360)</f>
        <v>1</v>
      </c>
      <c r="D368" s="28" t="str">
        <f>RTD("rtdtrading.rtdserver",, "T&amp;T0", "AGR", 360)</f>
        <v>Comprador</v>
      </c>
      <c r="G368" s="36" t="str">
        <f>RTD("rtdtrading.rtdserver",, "T&amp;T1", "DAT", 360)</f>
        <v>19:04:49.020</v>
      </c>
      <c r="H368" s="37">
        <f>RTD("rtdtrading.rtdserver",, "T&amp;T1", "PRE", 360)</f>
        <v>7348.25</v>
      </c>
      <c r="I368" s="38">
        <f>RTD("rtdtrading.rtdserver",, "T&amp;T1", "QUL", 360)</f>
        <v>1</v>
      </c>
      <c r="J368" s="39" t="str">
        <f>RTD("rtdtrading.rtdserver",, "T&amp;T1", "AGR", 360)</f>
        <v>Vendedor</v>
      </c>
    </row>
    <row r="369" spans="1:10" x14ac:dyDescent="0.25">
      <c r="A369" s="44" t="str">
        <f>RTD("rtdtrading.rtdserver",, "T&amp;T0", "DAT", 361)</f>
        <v>19:03:42.024</v>
      </c>
      <c r="B369" s="27">
        <f>RTD("rtdtrading.rtdserver",, "T&amp;T0", "PRE", 361)</f>
        <v>7349.25</v>
      </c>
      <c r="C369" s="28">
        <f>RTD("rtdtrading.rtdserver",, "T&amp;T0", "QUL", 361)</f>
        <v>3</v>
      </c>
      <c r="D369" s="28" t="str">
        <f>RTD("rtdtrading.rtdserver",, "T&amp;T0", "AGR", 361)</f>
        <v>Comprador</v>
      </c>
      <c r="G369" s="36" t="str">
        <f>RTD("rtdtrading.rtdserver",, "T&amp;T1", "DAT", 361)</f>
        <v>19:04:48.296</v>
      </c>
      <c r="H369" s="37">
        <f>RTD("rtdtrading.rtdserver",, "T&amp;T1", "PRE", 361)</f>
        <v>7348.25</v>
      </c>
      <c r="I369" s="38">
        <f>RTD("rtdtrading.rtdserver",, "T&amp;T1", "QUL", 361)</f>
        <v>5</v>
      </c>
      <c r="J369" s="39" t="str">
        <f>RTD("rtdtrading.rtdserver",, "T&amp;T1", "AGR", 361)</f>
        <v>Vendedor</v>
      </c>
    </row>
    <row r="370" spans="1:10" x14ac:dyDescent="0.25">
      <c r="A370" s="44" t="str">
        <f>RTD("rtdtrading.rtdserver",, "T&amp;T0", "DAT", 362)</f>
        <v>19:03:41.778</v>
      </c>
      <c r="B370" s="27">
        <f>RTD("rtdtrading.rtdserver",, "T&amp;T0", "PRE", 362)</f>
        <v>7349</v>
      </c>
      <c r="C370" s="28">
        <f>RTD("rtdtrading.rtdserver",, "T&amp;T0", "QUL", 362)</f>
        <v>1</v>
      </c>
      <c r="D370" s="28" t="str">
        <f>RTD("rtdtrading.rtdserver",, "T&amp;T0", "AGR", 362)</f>
        <v>Comprador</v>
      </c>
      <c r="G370" s="36" t="str">
        <f>RTD("rtdtrading.rtdserver",, "T&amp;T1", "DAT", 362)</f>
        <v>19:04:43.018</v>
      </c>
      <c r="H370" s="37">
        <f>RTD("rtdtrading.rtdserver",, "T&amp;T1", "PRE", 362)</f>
        <v>7348.25</v>
      </c>
      <c r="I370" s="38">
        <f>RTD("rtdtrading.rtdserver",, "T&amp;T1", "QUL", 362)</f>
        <v>2</v>
      </c>
      <c r="J370" s="39" t="str">
        <f>RTD("rtdtrading.rtdserver",, "T&amp;T1", "AGR", 362)</f>
        <v>Vendedor</v>
      </c>
    </row>
    <row r="371" spans="1:10" x14ac:dyDescent="0.25">
      <c r="A371" s="44" t="str">
        <f>RTD("rtdtrading.rtdserver",, "T&amp;T0", "DAT", 363)</f>
        <v>19:03:41.171</v>
      </c>
      <c r="B371" s="27">
        <f>RTD("rtdtrading.rtdserver",, "T&amp;T0", "PRE", 363)</f>
        <v>7348.75</v>
      </c>
      <c r="C371" s="28">
        <f>RTD("rtdtrading.rtdserver",, "T&amp;T0", "QUL", 363)</f>
        <v>1</v>
      </c>
      <c r="D371" s="28" t="str">
        <f>RTD("rtdtrading.rtdserver",, "T&amp;T0", "AGR", 363)</f>
        <v>Comprador</v>
      </c>
      <c r="G371" s="36" t="str">
        <f>RTD("rtdtrading.rtdserver",, "T&amp;T1", "DAT", 363)</f>
        <v>19:04:41.375</v>
      </c>
      <c r="H371" s="37">
        <f>RTD("rtdtrading.rtdserver",, "T&amp;T1", "PRE", 363)</f>
        <v>7348.25</v>
      </c>
      <c r="I371" s="38">
        <f>RTD("rtdtrading.rtdserver",, "T&amp;T1", "QUL", 363)</f>
        <v>1</v>
      </c>
      <c r="J371" s="39" t="str">
        <f>RTD("rtdtrading.rtdserver",, "T&amp;T1", "AGR", 363)</f>
        <v>Vendedor</v>
      </c>
    </row>
    <row r="372" spans="1:10" x14ac:dyDescent="0.25">
      <c r="A372" s="44" t="str">
        <f>RTD("rtdtrading.rtdserver",, "T&amp;T0", "DAT", 364)</f>
        <v>19:03:40.843</v>
      </c>
      <c r="B372" s="27">
        <f>RTD("rtdtrading.rtdserver",, "T&amp;T0", "PRE", 364)</f>
        <v>7348.75</v>
      </c>
      <c r="C372" s="28">
        <f>RTD("rtdtrading.rtdserver",, "T&amp;T0", "QUL", 364)</f>
        <v>1</v>
      </c>
      <c r="D372" s="28" t="str">
        <f>RTD("rtdtrading.rtdserver",, "T&amp;T0", "AGR", 364)</f>
        <v>Comprador</v>
      </c>
      <c r="G372" s="36" t="str">
        <f>RTD("rtdtrading.rtdserver",, "T&amp;T1", "DAT", 364)</f>
        <v>19:04:39.434</v>
      </c>
      <c r="H372" s="37">
        <f>RTD("rtdtrading.rtdserver",, "T&amp;T1", "PRE", 364)</f>
        <v>7348.25</v>
      </c>
      <c r="I372" s="38">
        <f>RTD("rtdtrading.rtdserver",, "T&amp;T1", "QUL", 364)</f>
        <v>2</v>
      </c>
      <c r="J372" s="39" t="str">
        <f>RTD("rtdtrading.rtdserver",, "T&amp;T1", "AGR", 364)</f>
        <v>Vendedor</v>
      </c>
    </row>
    <row r="373" spans="1:10" x14ac:dyDescent="0.25">
      <c r="A373" s="44" t="str">
        <f>RTD("rtdtrading.rtdserver",, "T&amp;T0", "DAT", 365)</f>
        <v>19:03:40.281</v>
      </c>
      <c r="B373" s="27">
        <f>RTD("rtdtrading.rtdserver",, "T&amp;T0", "PRE", 365)</f>
        <v>7348.75</v>
      </c>
      <c r="C373" s="28">
        <f>RTD("rtdtrading.rtdserver",, "T&amp;T0", "QUL", 365)</f>
        <v>1</v>
      </c>
      <c r="D373" s="28" t="str">
        <f>RTD("rtdtrading.rtdserver",, "T&amp;T0", "AGR", 365)</f>
        <v>Comprador</v>
      </c>
      <c r="G373" s="36" t="str">
        <f>RTD("rtdtrading.rtdserver",, "T&amp;T1", "DAT", 365)</f>
        <v>19:04:39.136</v>
      </c>
      <c r="H373" s="37">
        <f>RTD("rtdtrading.rtdserver",, "T&amp;T1", "PRE", 365)</f>
        <v>7348.5</v>
      </c>
      <c r="I373" s="38">
        <f>RTD("rtdtrading.rtdserver",, "T&amp;T1", "QUL", 365)</f>
        <v>3</v>
      </c>
      <c r="J373" s="39" t="str">
        <f>RTD("rtdtrading.rtdserver",, "T&amp;T1", "AGR", 365)</f>
        <v>Vendedor</v>
      </c>
    </row>
    <row r="374" spans="1:10" x14ac:dyDescent="0.25">
      <c r="A374" s="44" t="str">
        <f>RTD("rtdtrading.rtdserver",, "T&amp;T0", "DAT", 366)</f>
        <v>19:03:39.807</v>
      </c>
      <c r="B374" s="27">
        <f>RTD("rtdtrading.rtdserver",, "T&amp;T0", "PRE", 366)</f>
        <v>7348.75</v>
      </c>
      <c r="C374" s="28">
        <f>RTD("rtdtrading.rtdserver",, "T&amp;T0", "QUL", 366)</f>
        <v>1</v>
      </c>
      <c r="D374" s="28" t="str">
        <f>RTD("rtdtrading.rtdserver",, "T&amp;T0", "AGR", 366)</f>
        <v>Comprador</v>
      </c>
      <c r="G374" s="36" t="str">
        <f>RTD("rtdtrading.rtdserver",, "T&amp;T1", "DAT", 366)</f>
        <v>19:04:38.997</v>
      </c>
      <c r="H374" s="37">
        <f>RTD("rtdtrading.rtdserver",, "T&amp;T1", "PRE", 366)</f>
        <v>7348.25</v>
      </c>
      <c r="I374" s="38">
        <f>RTD("rtdtrading.rtdserver",, "T&amp;T1", "QUL", 366)</f>
        <v>1</v>
      </c>
      <c r="J374" s="39" t="str">
        <f>RTD("rtdtrading.rtdserver",, "T&amp;T1", "AGR", 366)</f>
        <v>Vendedor</v>
      </c>
    </row>
    <row r="375" spans="1:10" x14ac:dyDescent="0.25">
      <c r="A375" s="44" t="str">
        <f>RTD("rtdtrading.rtdserver",, "T&amp;T0", "DAT", 367)</f>
        <v>19:03:39.806</v>
      </c>
      <c r="B375" s="27">
        <f>RTD("rtdtrading.rtdserver",, "T&amp;T0", "PRE", 367)</f>
        <v>7348.75</v>
      </c>
      <c r="C375" s="28">
        <f>RTD("rtdtrading.rtdserver",, "T&amp;T0", "QUL", 367)</f>
        <v>2</v>
      </c>
      <c r="D375" s="28" t="str">
        <f>RTD("rtdtrading.rtdserver",, "T&amp;T0", "AGR", 367)</f>
        <v>Comprador</v>
      </c>
      <c r="G375" s="36" t="str">
        <f>RTD("rtdtrading.rtdserver",, "T&amp;T1", "DAT", 367)</f>
        <v>19:04:38.857</v>
      </c>
      <c r="H375" s="37">
        <f>RTD("rtdtrading.rtdserver",, "T&amp;T1", "PRE", 367)</f>
        <v>7348.25</v>
      </c>
      <c r="I375" s="38">
        <f>RTD("rtdtrading.rtdserver",, "T&amp;T1", "QUL", 367)</f>
        <v>1</v>
      </c>
      <c r="J375" s="39" t="str">
        <f>RTD("rtdtrading.rtdserver",, "T&amp;T1", "AGR", 367)</f>
        <v>Vendedor</v>
      </c>
    </row>
    <row r="376" spans="1:10" x14ac:dyDescent="0.25">
      <c r="A376" s="44" t="str">
        <f>RTD("rtdtrading.rtdserver",, "T&amp;T0", "DAT", 368)</f>
        <v>19:03:38.733</v>
      </c>
      <c r="B376" s="27">
        <f>RTD("rtdtrading.rtdserver",, "T&amp;T0", "PRE", 368)</f>
        <v>7349</v>
      </c>
      <c r="C376" s="28">
        <f>RTD("rtdtrading.rtdserver",, "T&amp;T0", "QUL", 368)</f>
        <v>1</v>
      </c>
      <c r="D376" s="28" t="str">
        <f>RTD("rtdtrading.rtdserver",, "T&amp;T0", "AGR", 368)</f>
        <v>Comprador</v>
      </c>
      <c r="G376" s="36" t="str">
        <f>RTD("rtdtrading.rtdserver",, "T&amp;T1", "DAT", 368)</f>
        <v>19:04:35.540</v>
      </c>
      <c r="H376" s="37">
        <f>RTD("rtdtrading.rtdserver",, "T&amp;T1", "PRE", 368)</f>
        <v>7348</v>
      </c>
      <c r="I376" s="38">
        <f>RTD("rtdtrading.rtdserver",, "T&amp;T1", "QUL", 368)</f>
        <v>1</v>
      </c>
      <c r="J376" s="39" t="str">
        <f>RTD("rtdtrading.rtdserver",, "T&amp;T1", "AGR", 368)</f>
        <v>Vendedor</v>
      </c>
    </row>
    <row r="377" spans="1:10" x14ac:dyDescent="0.25">
      <c r="A377" s="44" t="str">
        <f>RTD("rtdtrading.rtdserver",, "T&amp;T0", "DAT", 369)</f>
        <v>19:03:38.732</v>
      </c>
      <c r="B377" s="27">
        <f>RTD("rtdtrading.rtdserver",, "T&amp;T0", "PRE", 369)</f>
        <v>7349</v>
      </c>
      <c r="C377" s="28">
        <f>RTD("rtdtrading.rtdserver",, "T&amp;T0", "QUL", 369)</f>
        <v>1</v>
      </c>
      <c r="D377" s="28" t="str">
        <f>RTD("rtdtrading.rtdserver",, "T&amp;T0", "AGR", 369)</f>
        <v>Comprador</v>
      </c>
      <c r="G377" s="36" t="str">
        <f>RTD("rtdtrading.rtdserver",, "T&amp;T1", "DAT", 369)</f>
        <v>19:04:34.461</v>
      </c>
      <c r="H377" s="37">
        <f>RTD("rtdtrading.rtdserver",, "T&amp;T1", "PRE", 369)</f>
        <v>7348</v>
      </c>
      <c r="I377" s="38">
        <f>RTD("rtdtrading.rtdserver",, "T&amp;T1", "QUL", 369)</f>
        <v>1</v>
      </c>
      <c r="J377" s="39" t="str">
        <f>RTD("rtdtrading.rtdserver",, "T&amp;T1", "AGR", 369)</f>
        <v>Vendedor</v>
      </c>
    </row>
    <row r="378" spans="1:10" x14ac:dyDescent="0.25">
      <c r="A378" s="44" t="str">
        <f>RTD("rtdtrading.rtdserver",, "T&amp;T0", "DAT", 370)</f>
        <v>19:03:38.360</v>
      </c>
      <c r="B378" s="27">
        <f>RTD("rtdtrading.rtdserver",, "T&amp;T0", "PRE", 370)</f>
        <v>7348.75</v>
      </c>
      <c r="C378" s="28">
        <f>RTD("rtdtrading.rtdserver",, "T&amp;T0", "QUL", 370)</f>
        <v>1</v>
      </c>
      <c r="D378" s="28" t="str">
        <f>RTD("rtdtrading.rtdserver",, "T&amp;T0", "AGR", 370)</f>
        <v>Comprador</v>
      </c>
      <c r="G378" s="36" t="str">
        <f>RTD("rtdtrading.rtdserver",, "T&amp;T1", "DAT", 370)</f>
        <v>19:04:30.815</v>
      </c>
      <c r="H378" s="37">
        <f>RTD("rtdtrading.rtdserver",, "T&amp;T1", "PRE", 370)</f>
        <v>7348</v>
      </c>
      <c r="I378" s="38">
        <f>RTD("rtdtrading.rtdserver",, "T&amp;T1", "QUL", 370)</f>
        <v>5</v>
      </c>
      <c r="J378" s="39" t="str">
        <f>RTD("rtdtrading.rtdserver",, "T&amp;T1", "AGR", 370)</f>
        <v>Vendedor</v>
      </c>
    </row>
    <row r="379" spans="1:10" x14ac:dyDescent="0.25">
      <c r="A379" s="44" t="str">
        <f>RTD("rtdtrading.rtdserver",, "T&amp;T0", "DAT", 371)</f>
        <v>19:03:38.346</v>
      </c>
      <c r="B379" s="27">
        <f>RTD("rtdtrading.rtdserver",, "T&amp;T0", "PRE", 371)</f>
        <v>7348.75</v>
      </c>
      <c r="C379" s="28">
        <f>RTD("rtdtrading.rtdserver",, "T&amp;T0", "QUL", 371)</f>
        <v>2</v>
      </c>
      <c r="D379" s="28" t="str">
        <f>RTD("rtdtrading.rtdserver",, "T&amp;T0", "AGR", 371)</f>
        <v>Comprador</v>
      </c>
      <c r="G379" s="36" t="str">
        <f>RTD("rtdtrading.rtdserver",, "T&amp;T1", "DAT", 371)</f>
        <v>19:04:30.223</v>
      </c>
      <c r="H379" s="37">
        <f>RTD("rtdtrading.rtdserver",, "T&amp;T1", "PRE", 371)</f>
        <v>7348.25</v>
      </c>
      <c r="I379" s="38">
        <f>RTD("rtdtrading.rtdserver",, "T&amp;T1", "QUL", 371)</f>
        <v>1</v>
      </c>
      <c r="J379" s="39" t="str">
        <f>RTD("rtdtrading.rtdserver",, "T&amp;T1", "AGR", 371)</f>
        <v>Vendedor</v>
      </c>
    </row>
    <row r="380" spans="1:10" x14ac:dyDescent="0.25">
      <c r="A380" s="44" t="str">
        <f>RTD("rtdtrading.rtdserver",, "T&amp;T0", "DAT", 372)</f>
        <v>19:03:38.053</v>
      </c>
      <c r="B380" s="27">
        <f>RTD("rtdtrading.rtdserver",, "T&amp;T0", "PRE", 372)</f>
        <v>7349</v>
      </c>
      <c r="C380" s="28">
        <f>RTD("rtdtrading.rtdserver",, "T&amp;T0", "QUL", 372)</f>
        <v>1</v>
      </c>
      <c r="D380" s="28" t="str">
        <f>RTD("rtdtrading.rtdserver",, "T&amp;T0", "AGR", 372)</f>
        <v>Comprador</v>
      </c>
      <c r="G380" s="36" t="str">
        <f>RTD("rtdtrading.rtdserver",, "T&amp;T1", "DAT", 372)</f>
        <v>19:04:29.801</v>
      </c>
      <c r="H380" s="37">
        <f>RTD("rtdtrading.rtdserver",, "T&amp;T1", "PRE", 372)</f>
        <v>7348.25</v>
      </c>
      <c r="I380" s="38">
        <f>RTD("rtdtrading.rtdserver",, "T&amp;T1", "QUL", 372)</f>
        <v>1</v>
      </c>
      <c r="J380" s="39" t="str">
        <f>RTD("rtdtrading.rtdserver",, "T&amp;T1", "AGR", 372)</f>
        <v>Vendedor</v>
      </c>
    </row>
    <row r="381" spans="1:10" x14ac:dyDescent="0.25">
      <c r="A381" s="44" t="str">
        <f>RTD("rtdtrading.rtdserver",, "T&amp;T0", "DAT", 373)</f>
        <v>19:03:38.053</v>
      </c>
      <c r="B381" s="27">
        <f>RTD("rtdtrading.rtdserver",, "T&amp;T0", "PRE", 373)</f>
        <v>7349</v>
      </c>
      <c r="C381" s="28">
        <f>RTD("rtdtrading.rtdserver",, "T&amp;T0", "QUL", 373)</f>
        <v>1</v>
      </c>
      <c r="D381" s="28" t="str">
        <f>RTD("rtdtrading.rtdserver",, "T&amp;T0", "AGR", 373)</f>
        <v>Comprador</v>
      </c>
      <c r="G381" s="36" t="str">
        <f>RTD("rtdtrading.rtdserver",, "T&amp;T1", "DAT", 373)</f>
        <v>19:04:29.462</v>
      </c>
      <c r="H381" s="37">
        <f>RTD("rtdtrading.rtdserver",, "T&amp;T1", "PRE", 373)</f>
        <v>7347.75</v>
      </c>
      <c r="I381" s="38">
        <f>RTD("rtdtrading.rtdserver",, "T&amp;T1", "QUL", 373)</f>
        <v>4</v>
      </c>
      <c r="J381" s="39" t="str">
        <f>RTD("rtdtrading.rtdserver",, "T&amp;T1", "AGR", 373)</f>
        <v>Vendedor</v>
      </c>
    </row>
    <row r="382" spans="1:10" x14ac:dyDescent="0.25">
      <c r="A382" s="44" t="str">
        <f>RTD("rtdtrading.rtdserver",, "T&amp;T0", "DAT", 374)</f>
        <v>19:03:36.518</v>
      </c>
      <c r="B382" s="27">
        <f>RTD("rtdtrading.rtdserver",, "T&amp;T0", "PRE", 374)</f>
        <v>7349.25</v>
      </c>
      <c r="C382" s="28">
        <f>RTD("rtdtrading.rtdserver",, "T&amp;T0", "QUL", 374)</f>
        <v>1</v>
      </c>
      <c r="D382" s="28" t="str">
        <f>RTD("rtdtrading.rtdserver",, "T&amp;T0", "AGR", 374)</f>
        <v>Comprador</v>
      </c>
      <c r="G382" s="36" t="str">
        <f>RTD("rtdtrading.rtdserver",, "T&amp;T1", "DAT", 374)</f>
        <v>19:04:29.462</v>
      </c>
      <c r="H382" s="37">
        <f>RTD("rtdtrading.rtdserver",, "T&amp;T1", "PRE", 374)</f>
        <v>7348</v>
      </c>
      <c r="I382" s="38">
        <f>RTD("rtdtrading.rtdserver",, "T&amp;T1", "QUL", 374)</f>
        <v>16</v>
      </c>
      <c r="J382" s="39" t="str">
        <f>RTD("rtdtrading.rtdserver",, "T&amp;T1", "AGR", 374)</f>
        <v>Vendedor</v>
      </c>
    </row>
    <row r="383" spans="1:10" x14ac:dyDescent="0.25">
      <c r="A383" s="44" t="str">
        <f>RTD("rtdtrading.rtdserver",, "T&amp;T0", "DAT", 375)</f>
        <v>19:03:36.441</v>
      </c>
      <c r="B383" s="27">
        <f>RTD("rtdtrading.rtdserver",, "T&amp;T0", "PRE", 375)</f>
        <v>7349.25</v>
      </c>
      <c r="C383" s="28">
        <f>RTD("rtdtrading.rtdserver",, "T&amp;T0", "QUL", 375)</f>
        <v>2</v>
      </c>
      <c r="D383" s="28" t="str">
        <f>RTD("rtdtrading.rtdserver",, "T&amp;T0", "AGR", 375)</f>
        <v>Comprador</v>
      </c>
      <c r="G383" s="36" t="str">
        <f>RTD("rtdtrading.rtdserver",, "T&amp;T1", "DAT", 375)</f>
        <v>19:04:29.462</v>
      </c>
      <c r="H383" s="37">
        <f>RTD("rtdtrading.rtdserver",, "T&amp;T1", "PRE", 375)</f>
        <v>7348.25</v>
      </c>
      <c r="I383" s="38">
        <f>RTD("rtdtrading.rtdserver",, "T&amp;T1", "QUL", 375)</f>
        <v>5</v>
      </c>
      <c r="J383" s="39" t="str">
        <f>RTD("rtdtrading.rtdserver",, "T&amp;T1", "AGR", 375)</f>
        <v>Vendedor</v>
      </c>
    </row>
    <row r="384" spans="1:10" x14ac:dyDescent="0.25">
      <c r="A384" s="44" t="str">
        <f>RTD("rtdtrading.rtdserver",, "T&amp;T0", "DAT", 376)</f>
        <v>19:03:36.441</v>
      </c>
      <c r="B384" s="27">
        <f>RTD("rtdtrading.rtdserver",, "T&amp;T0", "PRE", 376)</f>
        <v>7349.25</v>
      </c>
      <c r="C384" s="28">
        <f>RTD("rtdtrading.rtdserver",, "T&amp;T0", "QUL", 376)</f>
        <v>1</v>
      </c>
      <c r="D384" s="28" t="str">
        <f>RTD("rtdtrading.rtdserver",, "T&amp;T0", "AGR", 376)</f>
        <v>Comprador</v>
      </c>
      <c r="G384" s="36" t="str">
        <f>RTD("rtdtrading.rtdserver",, "T&amp;T1", "DAT", 376)</f>
        <v>19:04:28.912</v>
      </c>
      <c r="H384" s="37">
        <f>RTD("rtdtrading.rtdserver",, "T&amp;T1", "PRE", 376)</f>
        <v>7348.25</v>
      </c>
      <c r="I384" s="38">
        <f>RTD("rtdtrading.rtdserver",, "T&amp;T1", "QUL", 376)</f>
        <v>1</v>
      </c>
      <c r="J384" s="39" t="str">
        <f>RTD("rtdtrading.rtdserver",, "T&amp;T1", "AGR", 376)</f>
        <v>Vendedor</v>
      </c>
    </row>
    <row r="385" spans="1:10" x14ac:dyDescent="0.25">
      <c r="A385" s="44" t="str">
        <f>RTD("rtdtrading.rtdserver",, "T&amp;T0", "DAT", 377)</f>
        <v>19:03:35.810</v>
      </c>
      <c r="B385" s="27">
        <f>RTD("rtdtrading.rtdserver",, "T&amp;T0", "PRE", 377)</f>
        <v>7349.5</v>
      </c>
      <c r="C385" s="28">
        <f>RTD("rtdtrading.rtdserver",, "T&amp;T0", "QUL", 377)</f>
        <v>1</v>
      </c>
      <c r="D385" s="28" t="str">
        <f>RTD("rtdtrading.rtdserver",, "T&amp;T0", "AGR", 377)</f>
        <v>Comprador</v>
      </c>
      <c r="G385" s="36" t="str">
        <f>RTD("rtdtrading.rtdserver",, "T&amp;T1", "DAT", 377)</f>
        <v>19:04:25.519</v>
      </c>
      <c r="H385" s="37">
        <f>RTD("rtdtrading.rtdserver",, "T&amp;T1", "PRE", 377)</f>
        <v>7348.25</v>
      </c>
      <c r="I385" s="38">
        <f>RTD("rtdtrading.rtdserver",, "T&amp;T1", "QUL", 377)</f>
        <v>1</v>
      </c>
      <c r="J385" s="39" t="str">
        <f>RTD("rtdtrading.rtdserver",, "T&amp;T1", "AGR", 377)</f>
        <v>Vendedor</v>
      </c>
    </row>
    <row r="386" spans="1:10" x14ac:dyDescent="0.25">
      <c r="A386" s="44" t="str">
        <f>RTD("rtdtrading.rtdserver",, "T&amp;T0", "DAT", 378)</f>
        <v>19:03:34.555</v>
      </c>
      <c r="B386" s="27">
        <f>RTD("rtdtrading.rtdserver",, "T&amp;T0", "PRE", 378)</f>
        <v>7349.75</v>
      </c>
      <c r="C386" s="28">
        <f>RTD("rtdtrading.rtdserver",, "T&amp;T0", "QUL", 378)</f>
        <v>1</v>
      </c>
      <c r="D386" s="28" t="str">
        <f>RTD("rtdtrading.rtdserver",, "T&amp;T0", "AGR", 378)</f>
        <v>Comprador</v>
      </c>
      <c r="G386" s="36" t="str">
        <f>RTD("rtdtrading.rtdserver",, "T&amp;T1", "DAT", 378)</f>
        <v>19:04:24.679</v>
      </c>
      <c r="H386" s="37">
        <f>RTD("rtdtrading.rtdserver",, "T&amp;T1", "PRE", 378)</f>
        <v>7348.25</v>
      </c>
      <c r="I386" s="38">
        <f>RTD("rtdtrading.rtdserver",, "T&amp;T1", "QUL", 378)</f>
        <v>1</v>
      </c>
      <c r="J386" s="39" t="str">
        <f>RTD("rtdtrading.rtdserver",, "T&amp;T1", "AGR", 378)</f>
        <v>Vendedor</v>
      </c>
    </row>
    <row r="387" spans="1:10" x14ac:dyDescent="0.25">
      <c r="A387" s="44" t="str">
        <f>RTD("rtdtrading.rtdserver",, "T&amp;T0", "DAT", 379)</f>
        <v>19:03:32.039</v>
      </c>
      <c r="B387" s="27">
        <f>RTD("rtdtrading.rtdserver",, "T&amp;T0", "PRE", 379)</f>
        <v>7349.75</v>
      </c>
      <c r="C387" s="28">
        <f>RTD("rtdtrading.rtdserver",, "T&amp;T0", "QUL", 379)</f>
        <v>1</v>
      </c>
      <c r="D387" s="28" t="str">
        <f>RTD("rtdtrading.rtdserver",, "T&amp;T0", "AGR", 379)</f>
        <v>Comprador</v>
      </c>
      <c r="G387" s="36" t="str">
        <f>RTD("rtdtrading.rtdserver",, "T&amp;T1", "DAT", 379)</f>
        <v>19:04:24.467</v>
      </c>
      <c r="H387" s="37">
        <f>RTD("rtdtrading.rtdserver",, "T&amp;T1", "PRE", 379)</f>
        <v>7348</v>
      </c>
      <c r="I387" s="38">
        <f>RTD("rtdtrading.rtdserver",, "T&amp;T1", "QUL", 379)</f>
        <v>1</v>
      </c>
      <c r="J387" s="39" t="str">
        <f>RTD("rtdtrading.rtdserver",, "T&amp;T1", "AGR", 379)</f>
        <v>Vendedor</v>
      </c>
    </row>
    <row r="388" spans="1:10" x14ac:dyDescent="0.25">
      <c r="A388" s="44" t="str">
        <f>RTD("rtdtrading.rtdserver",, "T&amp;T0", "DAT", 380)</f>
        <v>19:03:31.926</v>
      </c>
      <c r="B388" s="27">
        <f>RTD("rtdtrading.rtdserver",, "T&amp;T0", "PRE", 380)</f>
        <v>7349.75</v>
      </c>
      <c r="C388" s="28">
        <f>RTD("rtdtrading.rtdserver",, "T&amp;T0", "QUL", 380)</f>
        <v>1</v>
      </c>
      <c r="D388" s="28" t="str">
        <f>RTD("rtdtrading.rtdserver",, "T&amp;T0", "AGR", 380)</f>
        <v>Comprador</v>
      </c>
      <c r="G388" s="36" t="str">
        <f>RTD("rtdtrading.rtdserver",, "T&amp;T1", "DAT", 380)</f>
        <v>19:04:21.379</v>
      </c>
      <c r="H388" s="37">
        <f>RTD("rtdtrading.rtdserver",, "T&amp;T1", "PRE", 380)</f>
        <v>7348.25</v>
      </c>
      <c r="I388" s="38">
        <f>RTD("rtdtrading.rtdserver",, "T&amp;T1", "QUL", 380)</f>
        <v>4</v>
      </c>
      <c r="J388" s="39" t="str">
        <f>RTD("rtdtrading.rtdserver",, "T&amp;T1", "AGR", 380)</f>
        <v>Vendedor</v>
      </c>
    </row>
    <row r="389" spans="1:10" x14ac:dyDescent="0.25">
      <c r="A389" s="44" t="str">
        <f>RTD("rtdtrading.rtdserver",, "T&amp;T0", "DAT", 381)</f>
        <v>19:03:31.911</v>
      </c>
      <c r="B389" s="27">
        <f>RTD("rtdtrading.rtdserver",, "T&amp;T0", "PRE", 381)</f>
        <v>7349.75</v>
      </c>
      <c r="C389" s="28">
        <f>RTD("rtdtrading.rtdserver",, "T&amp;T0", "QUL", 381)</f>
        <v>1</v>
      </c>
      <c r="D389" s="28" t="str">
        <f>RTD("rtdtrading.rtdserver",, "T&amp;T0", "AGR", 381)</f>
        <v>Comprador</v>
      </c>
      <c r="G389" s="36" t="str">
        <f>RTD("rtdtrading.rtdserver",, "T&amp;T1", "DAT", 381)</f>
        <v>19:04:20.134</v>
      </c>
      <c r="H389" s="37">
        <f>RTD("rtdtrading.rtdserver",, "T&amp;T1", "PRE", 381)</f>
        <v>7348.5</v>
      </c>
      <c r="I389" s="38">
        <f>RTD("rtdtrading.rtdserver",, "T&amp;T1", "QUL", 381)</f>
        <v>5</v>
      </c>
      <c r="J389" s="39" t="str">
        <f>RTD("rtdtrading.rtdserver",, "T&amp;T1", "AGR", 381)</f>
        <v>Vendedor</v>
      </c>
    </row>
    <row r="390" spans="1:10" x14ac:dyDescent="0.25">
      <c r="A390" s="44" t="str">
        <f>RTD("rtdtrading.rtdserver",, "T&amp;T0", "DAT", 382)</f>
        <v>19:03:31.911</v>
      </c>
      <c r="B390" s="27">
        <f>RTD("rtdtrading.rtdserver",, "T&amp;T0", "PRE", 382)</f>
        <v>7349.75</v>
      </c>
      <c r="C390" s="28">
        <f>RTD("rtdtrading.rtdserver",, "T&amp;T0", "QUL", 382)</f>
        <v>1</v>
      </c>
      <c r="D390" s="28" t="str">
        <f>RTD("rtdtrading.rtdserver",, "T&amp;T0", "AGR", 382)</f>
        <v>Comprador</v>
      </c>
      <c r="G390" s="36" t="str">
        <f>RTD("rtdtrading.rtdserver",, "T&amp;T1", "DAT", 382)</f>
        <v>19:04:17.675</v>
      </c>
      <c r="H390" s="37">
        <f>RTD("rtdtrading.rtdserver",, "T&amp;T1", "PRE", 382)</f>
        <v>7348.75</v>
      </c>
      <c r="I390" s="38">
        <f>RTD("rtdtrading.rtdserver",, "T&amp;T1", "QUL", 382)</f>
        <v>1</v>
      </c>
      <c r="J390" s="39" t="str">
        <f>RTD("rtdtrading.rtdserver",, "T&amp;T1", "AGR", 382)</f>
        <v>Vendedor</v>
      </c>
    </row>
    <row r="391" spans="1:10" x14ac:dyDescent="0.25">
      <c r="A391" s="44" t="str">
        <f>RTD("rtdtrading.rtdserver",, "T&amp;T0", "DAT", 383)</f>
        <v>19:03:31.126</v>
      </c>
      <c r="B391" s="27">
        <f>RTD("rtdtrading.rtdserver",, "T&amp;T0", "PRE", 383)</f>
        <v>7350.25</v>
      </c>
      <c r="C391" s="28">
        <f>RTD("rtdtrading.rtdserver",, "T&amp;T0", "QUL", 383)</f>
        <v>3</v>
      </c>
      <c r="D391" s="28" t="str">
        <f>RTD("rtdtrading.rtdserver",, "T&amp;T0", "AGR", 383)</f>
        <v>Comprador</v>
      </c>
      <c r="G391" s="36" t="str">
        <f>RTD("rtdtrading.rtdserver",, "T&amp;T1", "DAT", 383)</f>
        <v>19:04:17.675</v>
      </c>
      <c r="H391" s="37">
        <f>RTD("rtdtrading.rtdserver",, "T&amp;T1", "PRE", 383)</f>
        <v>7348.75</v>
      </c>
      <c r="I391" s="38">
        <f>RTD("rtdtrading.rtdserver",, "T&amp;T1", "QUL", 383)</f>
        <v>1</v>
      </c>
      <c r="J391" s="39" t="str">
        <f>RTD("rtdtrading.rtdserver",, "T&amp;T1", "AGR", 383)</f>
        <v>Vendedor</v>
      </c>
    </row>
    <row r="392" spans="1:10" x14ac:dyDescent="0.25">
      <c r="A392" s="44" t="str">
        <f>RTD("rtdtrading.rtdserver",, "T&amp;T0", "DAT", 384)</f>
        <v>19:03:30.069</v>
      </c>
      <c r="B392" s="27">
        <f>RTD("rtdtrading.rtdserver",, "T&amp;T0", "PRE", 384)</f>
        <v>7350.25</v>
      </c>
      <c r="C392" s="28">
        <f>RTD("rtdtrading.rtdserver",, "T&amp;T0", "QUL", 384)</f>
        <v>2</v>
      </c>
      <c r="D392" s="28" t="str">
        <f>RTD("rtdtrading.rtdserver",, "T&amp;T0", "AGR", 384)</f>
        <v>Comprador</v>
      </c>
      <c r="G392" s="36" t="str">
        <f>RTD("rtdtrading.rtdserver",, "T&amp;T1", "DAT", 384)</f>
        <v>19:04:14.090</v>
      </c>
      <c r="H392" s="37">
        <f>RTD("rtdtrading.rtdserver",, "T&amp;T1", "PRE", 384)</f>
        <v>7348.5</v>
      </c>
      <c r="I392" s="38">
        <f>RTD("rtdtrading.rtdserver",, "T&amp;T1", "QUL", 384)</f>
        <v>3</v>
      </c>
      <c r="J392" s="39" t="str">
        <f>RTD("rtdtrading.rtdserver",, "T&amp;T1", "AGR", 384)</f>
        <v>Vendedor</v>
      </c>
    </row>
    <row r="393" spans="1:10" x14ac:dyDescent="0.25">
      <c r="A393" s="44" t="str">
        <f>RTD("rtdtrading.rtdserver",, "T&amp;T0", "DAT", 385)</f>
        <v>19:03:29.929</v>
      </c>
      <c r="B393" s="27">
        <f>RTD("rtdtrading.rtdserver",, "T&amp;T0", "PRE", 385)</f>
        <v>7350.25</v>
      </c>
      <c r="C393" s="28">
        <f>RTD("rtdtrading.rtdserver",, "T&amp;T0", "QUL", 385)</f>
        <v>1</v>
      </c>
      <c r="D393" s="28" t="str">
        <f>RTD("rtdtrading.rtdserver",, "T&amp;T0", "AGR", 385)</f>
        <v>Comprador</v>
      </c>
      <c r="G393" s="36" t="str">
        <f>RTD("rtdtrading.rtdserver",, "T&amp;T1", "DAT", 385)</f>
        <v>19:04:13.679</v>
      </c>
      <c r="H393" s="37">
        <f>RTD("rtdtrading.rtdserver",, "T&amp;T1", "PRE", 385)</f>
        <v>7348.5</v>
      </c>
      <c r="I393" s="38">
        <f>RTD("rtdtrading.rtdserver",, "T&amp;T1", "QUL", 385)</f>
        <v>1</v>
      </c>
      <c r="J393" s="39" t="str">
        <f>RTD("rtdtrading.rtdserver",, "T&amp;T1", "AGR", 385)</f>
        <v>Vendedor</v>
      </c>
    </row>
    <row r="394" spans="1:10" x14ac:dyDescent="0.25">
      <c r="A394" s="44" t="str">
        <f>RTD("rtdtrading.rtdserver",, "T&amp;T0", "DAT", 386)</f>
        <v>19:03:29.928</v>
      </c>
      <c r="B394" s="27">
        <f>RTD("rtdtrading.rtdserver",, "T&amp;T0", "PRE", 386)</f>
        <v>7350.25</v>
      </c>
      <c r="C394" s="28">
        <f>RTD("rtdtrading.rtdserver",, "T&amp;T0", "QUL", 386)</f>
        <v>1</v>
      </c>
      <c r="D394" s="28" t="str">
        <f>RTD("rtdtrading.rtdserver",, "T&amp;T0", "AGR", 386)</f>
        <v>Comprador</v>
      </c>
      <c r="G394" s="36" t="str">
        <f>RTD("rtdtrading.rtdserver",, "T&amp;T1", "DAT", 386)</f>
        <v>19:04:13.472</v>
      </c>
      <c r="H394" s="37">
        <f>RTD("rtdtrading.rtdserver",, "T&amp;T1", "PRE", 386)</f>
        <v>7348.5</v>
      </c>
      <c r="I394" s="38">
        <f>RTD("rtdtrading.rtdserver",, "T&amp;T1", "QUL", 386)</f>
        <v>5</v>
      </c>
      <c r="J394" s="39" t="str">
        <f>RTD("rtdtrading.rtdserver",, "T&amp;T1", "AGR", 386)</f>
        <v>Vendedor</v>
      </c>
    </row>
    <row r="395" spans="1:10" x14ac:dyDescent="0.25">
      <c r="A395" s="44" t="str">
        <f>RTD("rtdtrading.rtdserver",, "T&amp;T0", "DAT", 387)</f>
        <v>19:03:29.928</v>
      </c>
      <c r="B395" s="27">
        <f>RTD("rtdtrading.rtdserver",, "T&amp;T0", "PRE", 387)</f>
        <v>7350.25</v>
      </c>
      <c r="C395" s="28">
        <f>RTD("rtdtrading.rtdserver",, "T&amp;T0", "QUL", 387)</f>
        <v>1</v>
      </c>
      <c r="D395" s="28" t="str">
        <f>RTD("rtdtrading.rtdserver",, "T&amp;T0", "AGR", 387)</f>
        <v>Comprador</v>
      </c>
      <c r="G395" s="36" t="str">
        <f>RTD("rtdtrading.rtdserver",, "T&amp;T1", "DAT", 387)</f>
        <v>19:04:10.306</v>
      </c>
      <c r="H395" s="37">
        <f>RTD("rtdtrading.rtdserver",, "T&amp;T1", "PRE", 387)</f>
        <v>7348.5</v>
      </c>
      <c r="I395" s="38">
        <f>RTD("rtdtrading.rtdserver",, "T&amp;T1", "QUL", 387)</f>
        <v>10</v>
      </c>
      <c r="J395" s="39" t="str">
        <f>RTD("rtdtrading.rtdserver",, "T&amp;T1", "AGR", 387)</f>
        <v>Vendedor</v>
      </c>
    </row>
    <row r="396" spans="1:10" x14ac:dyDescent="0.25">
      <c r="A396" s="44" t="str">
        <f>RTD("rtdtrading.rtdserver",, "T&amp;T0", "DAT", 388)</f>
        <v>19:03:29.928</v>
      </c>
      <c r="B396" s="27">
        <f>RTD("rtdtrading.rtdserver",, "T&amp;T0", "PRE", 388)</f>
        <v>7350.25</v>
      </c>
      <c r="C396" s="28">
        <f>RTD("rtdtrading.rtdserver",, "T&amp;T0", "QUL", 388)</f>
        <v>1</v>
      </c>
      <c r="D396" s="28" t="str">
        <f>RTD("rtdtrading.rtdserver",, "T&amp;T0", "AGR", 388)</f>
        <v>Comprador</v>
      </c>
      <c r="G396" s="36" t="str">
        <f>RTD("rtdtrading.rtdserver",, "T&amp;T1", "DAT", 388)</f>
        <v>19:04:09.474</v>
      </c>
      <c r="H396" s="37">
        <f>RTD("rtdtrading.rtdserver",, "T&amp;T1", "PRE", 388)</f>
        <v>7348.5</v>
      </c>
      <c r="I396" s="38">
        <f>RTD("rtdtrading.rtdserver",, "T&amp;T1", "QUL", 388)</f>
        <v>5</v>
      </c>
      <c r="J396" s="39" t="str">
        <f>RTD("rtdtrading.rtdserver",, "T&amp;T1", "AGR", 388)</f>
        <v>Vendedor</v>
      </c>
    </row>
    <row r="397" spans="1:10" x14ac:dyDescent="0.25">
      <c r="A397" s="44" t="str">
        <f>RTD("rtdtrading.rtdserver",, "T&amp;T0", "DAT", 389)</f>
        <v>19:03:29.928</v>
      </c>
      <c r="B397" s="27">
        <f>RTD("rtdtrading.rtdserver",, "T&amp;T0", "PRE", 389)</f>
        <v>7350.25</v>
      </c>
      <c r="C397" s="28">
        <f>RTD("rtdtrading.rtdserver",, "T&amp;T0", "QUL", 389)</f>
        <v>1</v>
      </c>
      <c r="D397" s="28" t="str">
        <f>RTD("rtdtrading.rtdserver",, "T&amp;T0", "AGR", 389)</f>
        <v>Comprador</v>
      </c>
      <c r="G397" s="36" t="str">
        <f>RTD("rtdtrading.rtdserver",, "T&amp;T1", "DAT", 389)</f>
        <v>19:04:09.201</v>
      </c>
      <c r="H397" s="37">
        <f>RTD("rtdtrading.rtdserver",, "T&amp;T1", "PRE", 389)</f>
        <v>7348.75</v>
      </c>
      <c r="I397" s="38">
        <f>RTD("rtdtrading.rtdserver",, "T&amp;T1", "QUL", 389)</f>
        <v>1</v>
      </c>
      <c r="J397" s="39" t="str">
        <f>RTD("rtdtrading.rtdserver",, "T&amp;T1", "AGR", 389)</f>
        <v>Vendedor</v>
      </c>
    </row>
    <row r="398" spans="1:10" x14ac:dyDescent="0.25">
      <c r="A398" s="44" t="str">
        <f>RTD("rtdtrading.rtdserver",, "T&amp;T0", "DAT", 390)</f>
        <v>19:03:29.056</v>
      </c>
      <c r="B398" s="27">
        <f>RTD("rtdtrading.rtdserver",, "T&amp;T0", "PRE", 390)</f>
        <v>7350</v>
      </c>
      <c r="C398" s="28">
        <f>RTD("rtdtrading.rtdserver",, "T&amp;T0", "QUL", 390)</f>
        <v>1</v>
      </c>
      <c r="D398" s="28" t="str">
        <f>RTD("rtdtrading.rtdserver",, "T&amp;T0", "AGR", 390)</f>
        <v>Comprador</v>
      </c>
      <c r="G398" s="36" t="str">
        <f>RTD("rtdtrading.rtdserver",, "T&amp;T1", "DAT", 390)</f>
        <v>19:04:07.936</v>
      </c>
      <c r="H398" s="37">
        <f>RTD("rtdtrading.rtdserver",, "T&amp;T1", "PRE", 390)</f>
        <v>7348.75</v>
      </c>
      <c r="I398" s="38">
        <f>RTD("rtdtrading.rtdserver",, "T&amp;T1", "QUL", 390)</f>
        <v>1</v>
      </c>
      <c r="J398" s="39" t="str">
        <f>RTD("rtdtrading.rtdserver",, "T&amp;T1", "AGR", 390)</f>
        <v>Vendedor</v>
      </c>
    </row>
    <row r="399" spans="1:10" x14ac:dyDescent="0.25">
      <c r="A399" s="44" t="str">
        <f>RTD("rtdtrading.rtdserver",, "T&amp;T0", "DAT", 391)</f>
        <v>19:03:29.055</v>
      </c>
      <c r="B399" s="27">
        <f>RTD("rtdtrading.rtdserver",, "T&amp;T0", "PRE", 391)</f>
        <v>7350</v>
      </c>
      <c r="C399" s="28">
        <f>RTD("rtdtrading.rtdserver",, "T&amp;T0", "QUL", 391)</f>
        <v>1</v>
      </c>
      <c r="D399" s="28" t="str">
        <f>RTD("rtdtrading.rtdserver",, "T&amp;T0", "AGR", 391)</f>
        <v>Comprador</v>
      </c>
      <c r="G399" s="36" t="str">
        <f>RTD("rtdtrading.rtdserver",, "T&amp;T1", "DAT", 391)</f>
        <v>19:04:07.165</v>
      </c>
      <c r="H399" s="37">
        <f>RTD("rtdtrading.rtdserver",, "T&amp;T1", "PRE", 391)</f>
        <v>7348.5</v>
      </c>
      <c r="I399" s="38">
        <f>RTD("rtdtrading.rtdserver",, "T&amp;T1", "QUL", 391)</f>
        <v>1</v>
      </c>
      <c r="J399" s="39" t="str">
        <f>RTD("rtdtrading.rtdserver",, "T&amp;T1", "AGR", 391)</f>
        <v>Vendedor</v>
      </c>
    </row>
    <row r="400" spans="1:10" x14ac:dyDescent="0.25">
      <c r="A400" s="44" t="str">
        <f>RTD("rtdtrading.rtdserver",, "T&amp;T0", "DAT", 392)</f>
        <v>19:03:29.055</v>
      </c>
      <c r="B400" s="27">
        <f>RTD("rtdtrading.rtdserver",, "T&amp;T0", "PRE", 392)</f>
        <v>7350</v>
      </c>
      <c r="C400" s="28">
        <f>RTD("rtdtrading.rtdserver",, "T&amp;T0", "QUL", 392)</f>
        <v>3</v>
      </c>
      <c r="D400" s="28" t="str">
        <f>RTD("rtdtrading.rtdserver",, "T&amp;T0", "AGR", 392)</f>
        <v>Comprador</v>
      </c>
      <c r="G400" s="36" t="str">
        <f>RTD("rtdtrading.rtdserver",, "T&amp;T1", "DAT", 392)</f>
        <v>19:04:06.393</v>
      </c>
      <c r="H400" s="37">
        <f>RTD("rtdtrading.rtdserver",, "T&amp;T1", "PRE", 392)</f>
        <v>7348.5</v>
      </c>
      <c r="I400" s="38">
        <f>RTD("rtdtrading.rtdserver",, "T&amp;T1", "QUL", 392)</f>
        <v>1</v>
      </c>
      <c r="J400" s="39" t="str">
        <f>RTD("rtdtrading.rtdserver",, "T&amp;T1", "AGR", 392)</f>
        <v>Vendedor</v>
      </c>
    </row>
    <row r="401" spans="1:10" x14ac:dyDescent="0.25">
      <c r="A401" s="44" t="str">
        <f>RTD("rtdtrading.rtdserver",, "T&amp;T0", "DAT", 393)</f>
        <v>19:03:29.055</v>
      </c>
      <c r="B401" s="27">
        <f>RTD("rtdtrading.rtdserver",, "T&amp;T0", "PRE", 393)</f>
        <v>7350</v>
      </c>
      <c r="C401" s="28">
        <f>RTD("rtdtrading.rtdserver",, "T&amp;T0", "QUL", 393)</f>
        <v>3</v>
      </c>
      <c r="D401" s="28" t="str">
        <f>RTD("rtdtrading.rtdserver",, "T&amp;T0", "AGR", 393)</f>
        <v>Comprador</v>
      </c>
      <c r="G401" s="36" t="str">
        <f>RTD("rtdtrading.rtdserver",, "T&amp;T1", "DAT", 393)</f>
        <v>19:04:05.083</v>
      </c>
      <c r="H401" s="37">
        <f>RTD("rtdtrading.rtdserver",, "T&amp;T1", "PRE", 393)</f>
        <v>7348.75</v>
      </c>
      <c r="I401" s="38">
        <f>RTD("rtdtrading.rtdserver",, "T&amp;T1", "QUL", 393)</f>
        <v>1</v>
      </c>
      <c r="J401" s="39" t="str">
        <f>RTD("rtdtrading.rtdserver",, "T&amp;T1", "AGR", 393)</f>
        <v>Vendedor</v>
      </c>
    </row>
    <row r="402" spans="1:10" x14ac:dyDescent="0.25">
      <c r="A402" s="44" t="str">
        <f>RTD("rtdtrading.rtdserver",, "T&amp;T0", "DAT", 394)</f>
        <v>19:03:29.001</v>
      </c>
      <c r="B402" s="27">
        <f>RTD("rtdtrading.rtdserver",, "T&amp;T0", "PRE", 394)</f>
        <v>7350</v>
      </c>
      <c r="C402" s="28">
        <f>RTD("rtdtrading.rtdserver",, "T&amp;T0", "QUL", 394)</f>
        <v>1</v>
      </c>
      <c r="D402" s="28" t="str">
        <f>RTD("rtdtrading.rtdserver",, "T&amp;T0", "AGR", 394)</f>
        <v>Comprador</v>
      </c>
      <c r="G402" s="36" t="str">
        <f>RTD("rtdtrading.rtdserver",, "T&amp;T1", "DAT", 394)</f>
        <v>19:04:04.055</v>
      </c>
      <c r="H402" s="37">
        <f>RTD("rtdtrading.rtdserver",, "T&amp;T1", "PRE", 394)</f>
        <v>7348.5</v>
      </c>
      <c r="I402" s="38">
        <f>RTD("rtdtrading.rtdserver",, "T&amp;T1", "QUL", 394)</f>
        <v>1</v>
      </c>
      <c r="J402" s="39" t="str">
        <f>RTD("rtdtrading.rtdserver",, "T&amp;T1", "AGR", 394)</f>
        <v>Vendedor</v>
      </c>
    </row>
    <row r="403" spans="1:10" x14ac:dyDescent="0.25">
      <c r="A403" s="44" t="str">
        <f>RTD("rtdtrading.rtdserver",, "T&amp;T0", "DAT", 395)</f>
        <v>19:03:28.862</v>
      </c>
      <c r="B403" s="27">
        <f>RTD("rtdtrading.rtdserver",, "T&amp;T0", "PRE", 395)</f>
        <v>7350</v>
      </c>
      <c r="C403" s="28">
        <f>RTD("rtdtrading.rtdserver",, "T&amp;T0", "QUL", 395)</f>
        <v>4</v>
      </c>
      <c r="D403" s="28" t="str">
        <f>RTD("rtdtrading.rtdserver",, "T&amp;T0", "AGR", 395)</f>
        <v>Comprador</v>
      </c>
      <c r="G403" s="36" t="str">
        <f>RTD("rtdtrading.rtdserver",, "T&amp;T1", "DAT", 395)</f>
        <v>19:04:03.881</v>
      </c>
      <c r="H403" s="37">
        <f>RTD("rtdtrading.rtdserver",, "T&amp;T1", "PRE", 395)</f>
        <v>7348.5</v>
      </c>
      <c r="I403" s="38">
        <f>RTD("rtdtrading.rtdserver",, "T&amp;T1", "QUL", 395)</f>
        <v>2</v>
      </c>
      <c r="J403" s="39" t="str">
        <f>RTD("rtdtrading.rtdserver",, "T&amp;T1", "AGR", 395)</f>
        <v>Vendedor</v>
      </c>
    </row>
    <row r="404" spans="1:10" x14ac:dyDescent="0.25">
      <c r="A404" s="44" t="str">
        <f>RTD("rtdtrading.rtdserver",, "T&amp;T0", "DAT", 396)</f>
        <v>19:03:28.861</v>
      </c>
      <c r="B404" s="27">
        <f>RTD("rtdtrading.rtdserver",, "T&amp;T0", "PRE", 396)</f>
        <v>7350</v>
      </c>
      <c r="C404" s="28">
        <f>RTD("rtdtrading.rtdserver",, "T&amp;T0", "QUL", 396)</f>
        <v>2</v>
      </c>
      <c r="D404" s="28" t="str">
        <f>RTD("rtdtrading.rtdserver",, "T&amp;T0", "AGR", 396)</f>
        <v>Comprador</v>
      </c>
      <c r="G404" s="36" t="str">
        <f>RTD("rtdtrading.rtdserver",, "T&amp;T1", "DAT", 396)</f>
        <v>19:04:03.769</v>
      </c>
      <c r="H404" s="37">
        <f>RTD("rtdtrading.rtdserver",, "T&amp;T1", "PRE", 396)</f>
        <v>7348.5</v>
      </c>
      <c r="I404" s="38">
        <f>RTD("rtdtrading.rtdserver",, "T&amp;T1", "QUL", 396)</f>
        <v>3</v>
      </c>
      <c r="J404" s="39" t="str">
        <f>RTD("rtdtrading.rtdserver",, "T&amp;T1", "AGR", 396)</f>
        <v>Vendedor</v>
      </c>
    </row>
    <row r="405" spans="1:10" x14ac:dyDescent="0.25">
      <c r="A405" s="44" t="str">
        <f>RTD("rtdtrading.rtdserver",, "T&amp;T0", "DAT", 397)</f>
        <v>19:03:28.861</v>
      </c>
      <c r="B405" s="27">
        <f>RTD("rtdtrading.rtdserver",, "T&amp;T0", "PRE", 397)</f>
        <v>7350</v>
      </c>
      <c r="C405" s="28">
        <f>RTD("rtdtrading.rtdserver",, "T&amp;T0", "QUL", 397)</f>
        <v>3</v>
      </c>
      <c r="D405" s="28" t="str">
        <f>RTD("rtdtrading.rtdserver",, "T&amp;T0", "AGR", 397)</f>
        <v>Comprador</v>
      </c>
      <c r="G405" s="36" t="str">
        <f>RTD("rtdtrading.rtdserver",, "T&amp;T1", "DAT", 397)</f>
        <v>19:04:03.769</v>
      </c>
      <c r="H405" s="37">
        <f>RTD("rtdtrading.rtdserver",, "T&amp;T1", "PRE", 397)</f>
        <v>7348.75</v>
      </c>
      <c r="I405" s="38">
        <f>RTD("rtdtrading.rtdserver",, "T&amp;T1", "QUL", 397)</f>
        <v>2</v>
      </c>
      <c r="J405" s="39" t="str">
        <f>RTD("rtdtrading.rtdserver",, "T&amp;T1", "AGR", 397)</f>
        <v>Vendedor</v>
      </c>
    </row>
    <row r="406" spans="1:10" x14ac:dyDescent="0.25">
      <c r="A406" s="44" t="str">
        <f>RTD("rtdtrading.rtdserver",, "T&amp;T0", "DAT", 398)</f>
        <v>19:03:28.137</v>
      </c>
      <c r="B406" s="27">
        <f>RTD("rtdtrading.rtdserver",, "T&amp;T0", "PRE", 398)</f>
        <v>7349.75</v>
      </c>
      <c r="C406" s="28">
        <f>RTD("rtdtrading.rtdserver",, "T&amp;T0", "QUL", 398)</f>
        <v>1</v>
      </c>
      <c r="D406" s="28" t="str">
        <f>RTD("rtdtrading.rtdserver",, "T&amp;T0", "AGR", 398)</f>
        <v>Comprador</v>
      </c>
      <c r="G406" s="36" t="str">
        <f>RTD("rtdtrading.rtdserver",, "T&amp;T1", "DAT", 398)</f>
        <v>19:04:02.568</v>
      </c>
      <c r="H406" s="37">
        <f>RTD("rtdtrading.rtdserver",, "T&amp;T1", "PRE", 398)</f>
        <v>7348.75</v>
      </c>
      <c r="I406" s="38">
        <f>RTD("rtdtrading.rtdserver",, "T&amp;T1", "QUL", 398)</f>
        <v>1</v>
      </c>
      <c r="J406" s="39" t="str">
        <f>RTD("rtdtrading.rtdserver",, "T&amp;T1", "AGR", 398)</f>
        <v>Vendedor</v>
      </c>
    </row>
    <row r="407" spans="1:10" x14ac:dyDescent="0.25">
      <c r="A407" s="44" t="str">
        <f>RTD("rtdtrading.rtdserver",, "T&amp;T0", "DAT", 399)</f>
        <v>19:03:28.107</v>
      </c>
      <c r="B407" s="27">
        <f>RTD("rtdtrading.rtdserver",, "T&amp;T0", "PRE", 399)</f>
        <v>7350</v>
      </c>
      <c r="C407" s="28">
        <f>RTD("rtdtrading.rtdserver",, "T&amp;T0", "QUL", 399)</f>
        <v>2</v>
      </c>
      <c r="D407" s="28" t="str">
        <f>RTD("rtdtrading.rtdserver",, "T&amp;T0", "AGR", 399)</f>
        <v>Comprador</v>
      </c>
      <c r="G407" s="36" t="str">
        <f>RTD("rtdtrading.rtdserver",, "T&amp;T1", "DAT", 399)</f>
        <v>19:04:01.114</v>
      </c>
      <c r="H407" s="37">
        <f>RTD("rtdtrading.rtdserver",, "T&amp;T1", "PRE", 399)</f>
        <v>7348.75</v>
      </c>
      <c r="I407" s="38">
        <f>RTD("rtdtrading.rtdserver",, "T&amp;T1", "QUL", 399)</f>
        <v>1</v>
      </c>
      <c r="J407" s="39" t="str">
        <f>RTD("rtdtrading.rtdserver",, "T&amp;T1", "AGR", 399)</f>
        <v>Vendedor</v>
      </c>
    </row>
    <row r="408" spans="1:10" x14ac:dyDescent="0.25">
      <c r="A408" s="44" t="str">
        <f>RTD("rtdtrading.rtdserver",, "T&amp;T0", "DAT", 400)</f>
        <v>19:03:28.106</v>
      </c>
      <c r="B408" s="27">
        <f>RTD("rtdtrading.rtdserver",, "T&amp;T0", "PRE", 400)</f>
        <v>7350</v>
      </c>
      <c r="C408" s="28">
        <f>RTD("rtdtrading.rtdserver",, "T&amp;T0", "QUL", 400)</f>
        <v>5</v>
      </c>
      <c r="D408" s="28" t="str">
        <f>RTD("rtdtrading.rtdserver",, "T&amp;T0", "AGR", 400)</f>
        <v>Comprador</v>
      </c>
      <c r="G408" s="36" t="str">
        <f>RTD("rtdtrading.rtdserver",, "T&amp;T1", "DAT", 400)</f>
        <v>19:04:01.085</v>
      </c>
      <c r="H408" s="37">
        <f>RTD("rtdtrading.rtdserver",, "T&amp;T1", "PRE", 400)</f>
        <v>7348.75</v>
      </c>
      <c r="I408" s="38">
        <f>RTD("rtdtrading.rtdserver",, "T&amp;T1", "QUL", 400)</f>
        <v>1</v>
      </c>
      <c r="J408" s="39" t="str">
        <f>RTD("rtdtrading.rtdserver",, "T&amp;T1", "AGR", 400)</f>
        <v>Vendedor</v>
      </c>
    </row>
    <row r="409" spans="1:10" x14ac:dyDescent="0.25">
      <c r="A409" s="44" t="str">
        <f>RTD("rtdtrading.rtdserver",, "T&amp;T0", "DAT", 401)</f>
        <v>19:03:28.106</v>
      </c>
      <c r="B409" s="27">
        <f>RTD("rtdtrading.rtdserver",, "T&amp;T0", "PRE", 401)</f>
        <v>7350</v>
      </c>
      <c r="C409" s="28">
        <f>RTD("rtdtrading.rtdserver",, "T&amp;T0", "QUL", 401)</f>
        <v>2</v>
      </c>
      <c r="D409" s="28" t="str">
        <f>RTD("rtdtrading.rtdserver",, "T&amp;T0", "AGR", 401)</f>
        <v>Comprador</v>
      </c>
      <c r="G409" s="36" t="str">
        <f>RTD("rtdtrading.rtdserver",, "T&amp;T1", "DAT", 401)</f>
        <v>19:03:59.565</v>
      </c>
      <c r="H409" s="37">
        <f>RTD("rtdtrading.rtdserver",, "T&amp;T1", "PRE", 401)</f>
        <v>7348.75</v>
      </c>
      <c r="I409" s="38">
        <f>RTD("rtdtrading.rtdserver",, "T&amp;T1", "QUL", 401)</f>
        <v>2</v>
      </c>
      <c r="J409" s="39" t="str">
        <f>RTD("rtdtrading.rtdserver",, "T&amp;T1", "AGR", 401)</f>
        <v>Vendedor</v>
      </c>
    </row>
    <row r="410" spans="1:10" x14ac:dyDescent="0.25">
      <c r="A410" s="44" t="str">
        <f>RTD("rtdtrading.rtdserver",, "T&amp;T0", "DAT", 402)</f>
        <v>19:03:28.106</v>
      </c>
      <c r="B410" s="27">
        <f>RTD("rtdtrading.rtdserver",, "T&amp;T0", "PRE", 402)</f>
        <v>7350</v>
      </c>
      <c r="C410" s="28">
        <f>RTD("rtdtrading.rtdserver",, "T&amp;T0", "QUL", 402)</f>
        <v>1</v>
      </c>
      <c r="D410" s="28" t="str">
        <f>RTD("rtdtrading.rtdserver",, "T&amp;T0", "AGR", 402)</f>
        <v>Comprador</v>
      </c>
      <c r="G410" s="36" t="str">
        <f>RTD("rtdtrading.rtdserver",, "T&amp;T1", "DAT", 402)</f>
        <v>19:03:59.174</v>
      </c>
      <c r="H410" s="37">
        <f>RTD("rtdtrading.rtdserver",, "T&amp;T1", "PRE", 402)</f>
        <v>7349</v>
      </c>
      <c r="I410" s="38">
        <f>RTD("rtdtrading.rtdserver",, "T&amp;T1", "QUL", 402)</f>
        <v>1</v>
      </c>
      <c r="J410" s="39" t="str">
        <f>RTD("rtdtrading.rtdserver",, "T&amp;T1", "AGR", 402)</f>
        <v>Vendedor</v>
      </c>
    </row>
    <row r="411" spans="1:10" x14ac:dyDescent="0.25">
      <c r="A411" s="44" t="str">
        <f>RTD("rtdtrading.rtdserver",, "T&amp;T0", "DAT", 403)</f>
        <v>19:03:28.106</v>
      </c>
      <c r="B411" s="27">
        <f>RTD("rtdtrading.rtdserver",, "T&amp;T0", "PRE", 403)</f>
        <v>7350</v>
      </c>
      <c r="C411" s="28">
        <f>RTD("rtdtrading.rtdserver",, "T&amp;T0", "QUL", 403)</f>
        <v>8</v>
      </c>
      <c r="D411" s="28" t="str">
        <f>RTD("rtdtrading.rtdserver",, "T&amp;T0", "AGR", 403)</f>
        <v>Comprador</v>
      </c>
      <c r="G411" s="36" t="str">
        <f>RTD("rtdtrading.rtdserver",, "T&amp;T1", "DAT", 403)</f>
        <v>19:03:58.284</v>
      </c>
      <c r="H411" s="37">
        <f>RTD("rtdtrading.rtdserver",, "T&amp;T1", "PRE", 403)</f>
        <v>7348.75</v>
      </c>
      <c r="I411" s="38">
        <f>RTD("rtdtrading.rtdserver",, "T&amp;T1", "QUL", 403)</f>
        <v>1</v>
      </c>
      <c r="J411" s="39" t="str">
        <f>RTD("rtdtrading.rtdserver",, "T&amp;T1", "AGR", 403)</f>
        <v>Vendedor</v>
      </c>
    </row>
    <row r="412" spans="1:10" x14ac:dyDescent="0.25">
      <c r="A412" s="44" t="str">
        <f>RTD("rtdtrading.rtdserver",, "T&amp;T0", "DAT", 404)</f>
        <v>19:03:28.106</v>
      </c>
      <c r="B412" s="27">
        <f>RTD("rtdtrading.rtdserver",, "T&amp;T0", "PRE", 404)</f>
        <v>7350</v>
      </c>
      <c r="C412" s="28">
        <f>RTD("rtdtrading.rtdserver",, "T&amp;T0", "QUL", 404)</f>
        <v>5</v>
      </c>
      <c r="D412" s="28" t="str">
        <f>RTD("rtdtrading.rtdserver",, "T&amp;T0", "AGR", 404)</f>
        <v>Comprador</v>
      </c>
      <c r="G412" s="36" t="str">
        <f>RTD("rtdtrading.rtdserver",, "T&amp;T1", "DAT", 404)</f>
        <v>19:03:57.581</v>
      </c>
      <c r="H412" s="37">
        <f>RTD("rtdtrading.rtdserver",, "T&amp;T1", "PRE", 404)</f>
        <v>7348.5</v>
      </c>
      <c r="I412" s="38">
        <f>RTD("rtdtrading.rtdserver",, "T&amp;T1", "QUL", 404)</f>
        <v>1</v>
      </c>
      <c r="J412" s="39" t="str">
        <f>RTD("rtdtrading.rtdserver",, "T&amp;T1", "AGR", 404)</f>
        <v>Vendedor</v>
      </c>
    </row>
    <row r="413" spans="1:10" x14ac:dyDescent="0.25">
      <c r="A413" s="44" t="str">
        <f>RTD("rtdtrading.rtdserver",, "T&amp;T0", "DAT", 405)</f>
        <v>19:03:26.961</v>
      </c>
      <c r="B413" s="27">
        <f>RTD("rtdtrading.rtdserver",, "T&amp;T0", "PRE", 405)</f>
        <v>7349.75</v>
      </c>
      <c r="C413" s="28">
        <f>RTD("rtdtrading.rtdserver",, "T&amp;T0", "QUL", 405)</f>
        <v>3</v>
      </c>
      <c r="D413" s="28" t="str">
        <f>RTD("rtdtrading.rtdserver",, "T&amp;T0", "AGR", 405)</f>
        <v>Comprador</v>
      </c>
      <c r="G413" s="36" t="str">
        <f>RTD("rtdtrading.rtdserver",, "T&amp;T1", "DAT", 405)</f>
        <v>19:03:56.836</v>
      </c>
      <c r="H413" s="37">
        <f>RTD("rtdtrading.rtdserver",, "T&amp;T1", "PRE", 405)</f>
        <v>7348.75</v>
      </c>
      <c r="I413" s="38">
        <f>RTD("rtdtrading.rtdserver",, "T&amp;T1", "QUL", 405)</f>
        <v>1</v>
      </c>
      <c r="J413" s="39" t="str">
        <f>RTD("rtdtrading.rtdserver",, "T&amp;T1", "AGR", 405)</f>
        <v>Vendedor</v>
      </c>
    </row>
    <row r="414" spans="1:10" x14ac:dyDescent="0.25">
      <c r="A414" s="44" t="str">
        <f>RTD("rtdtrading.rtdserver",, "T&amp;T0", "DAT", 406)</f>
        <v>19:03:25.113</v>
      </c>
      <c r="B414" s="27">
        <f>RTD("rtdtrading.rtdserver",, "T&amp;T0", "PRE", 406)</f>
        <v>7349.75</v>
      </c>
      <c r="C414" s="28">
        <f>RTD("rtdtrading.rtdserver",, "T&amp;T0", "QUL", 406)</f>
        <v>3</v>
      </c>
      <c r="D414" s="28" t="str">
        <f>RTD("rtdtrading.rtdserver",, "T&amp;T0", "AGR", 406)</f>
        <v>Comprador</v>
      </c>
      <c r="G414" s="36" t="str">
        <f>RTD("rtdtrading.rtdserver",, "T&amp;T1", "DAT", 406)</f>
        <v>19:03:56.834</v>
      </c>
      <c r="H414" s="37">
        <f>RTD("rtdtrading.rtdserver",, "T&amp;T1", "PRE", 406)</f>
        <v>7348.25</v>
      </c>
      <c r="I414" s="38">
        <f>RTD("rtdtrading.rtdserver",, "T&amp;T1", "QUL", 406)</f>
        <v>2</v>
      </c>
      <c r="J414" s="39" t="str">
        <f>RTD("rtdtrading.rtdserver",, "T&amp;T1", "AGR", 406)</f>
        <v>Vendedor</v>
      </c>
    </row>
    <row r="415" spans="1:10" x14ac:dyDescent="0.25">
      <c r="A415" s="44" t="str">
        <f>RTD("rtdtrading.rtdserver",, "T&amp;T0", "DAT", 407)</f>
        <v>19:03:23.976</v>
      </c>
      <c r="B415" s="27">
        <f>RTD("rtdtrading.rtdserver",, "T&amp;T0", "PRE", 407)</f>
        <v>7349.5</v>
      </c>
      <c r="C415" s="28">
        <f>RTD("rtdtrading.rtdserver",, "T&amp;T0", "QUL", 407)</f>
        <v>1</v>
      </c>
      <c r="D415" s="28" t="str">
        <f>RTD("rtdtrading.rtdserver",, "T&amp;T0", "AGR", 407)</f>
        <v>Comprador</v>
      </c>
      <c r="G415" s="36" t="str">
        <f>RTD("rtdtrading.rtdserver",, "T&amp;T1", "DAT", 407)</f>
        <v>19:03:56.834</v>
      </c>
      <c r="H415" s="37">
        <f>RTD("rtdtrading.rtdserver",, "T&amp;T1", "PRE", 407)</f>
        <v>7348.5</v>
      </c>
      <c r="I415" s="38">
        <f>RTD("rtdtrading.rtdserver",, "T&amp;T1", "QUL", 407)</f>
        <v>4</v>
      </c>
      <c r="J415" s="39" t="str">
        <f>RTD("rtdtrading.rtdserver",, "T&amp;T1", "AGR", 407)</f>
        <v>Vendedor</v>
      </c>
    </row>
    <row r="416" spans="1:10" x14ac:dyDescent="0.25">
      <c r="A416" s="44" t="str">
        <f>RTD("rtdtrading.rtdserver",, "T&amp;T0", "DAT", 408)</f>
        <v>19:03:23.976</v>
      </c>
      <c r="B416" s="27">
        <f>RTD("rtdtrading.rtdserver",, "T&amp;T0", "PRE", 408)</f>
        <v>7349.5</v>
      </c>
      <c r="C416" s="28">
        <f>RTD("rtdtrading.rtdserver",, "T&amp;T0", "QUL", 408)</f>
        <v>1</v>
      </c>
      <c r="D416" s="28" t="str">
        <f>RTD("rtdtrading.rtdserver",, "T&amp;T0", "AGR", 408)</f>
        <v>Comprador</v>
      </c>
      <c r="G416" s="36" t="str">
        <f>RTD("rtdtrading.rtdserver",, "T&amp;T1", "DAT", 408)</f>
        <v>19:03:56.834</v>
      </c>
      <c r="H416" s="37">
        <f>RTD("rtdtrading.rtdserver",, "T&amp;T1", "PRE", 408)</f>
        <v>7348.75</v>
      </c>
      <c r="I416" s="38">
        <f>RTD("rtdtrading.rtdserver",, "T&amp;T1", "QUL", 408)</f>
        <v>4</v>
      </c>
      <c r="J416" s="39" t="str">
        <f>RTD("rtdtrading.rtdserver",, "T&amp;T1", "AGR", 408)</f>
        <v>Vendedor</v>
      </c>
    </row>
    <row r="417" spans="1:10" x14ac:dyDescent="0.25">
      <c r="A417" s="44" t="str">
        <f>RTD("rtdtrading.rtdserver",, "T&amp;T0", "DAT", 409)</f>
        <v>19:03:23.262</v>
      </c>
      <c r="B417" s="27">
        <f>RTD("rtdtrading.rtdserver",, "T&amp;T0", "PRE", 409)</f>
        <v>7349.5</v>
      </c>
      <c r="C417" s="28">
        <f>RTD("rtdtrading.rtdserver",, "T&amp;T0", "QUL", 409)</f>
        <v>3</v>
      </c>
      <c r="D417" s="28" t="str">
        <f>RTD("rtdtrading.rtdserver",, "T&amp;T0", "AGR", 409)</f>
        <v>Comprador</v>
      </c>
      <c r="G417" s="36" t="str">
        <f>RTD("rtdtrading.rtdserver",, "T&amp;T1", "DAT", 409)</f>
        <v>19:03:56.134</v>
      </c>
      <c r="H417" s="37">
        <f>RTD("rtdtrading.rtdserver",, "T&amp;T1", "PRE", 409)</f>
        <v>7349</v>
      </c>
      <c r="I417" s="38">
        <f>RTD("rtdtrading.rtdserver",, "T&amp;T1", "QUL", 409)</f>
        <v>1</v>
      </c>
      <c r="J417" s="39" t="str">
        <f>RTD("rtdtrading.rtdserver",, "T&amp;T1", "AGR", 409)</f>
        <v>Vendedor</v>
      </c>
    </row>
    <row r="418" spans="1:10" x14ac:dyDescent="0.25">
      <c r="A418" s="44" t="str">
        <f>RTD("rtdtrading.rtdserver",, "T&amp;T0", "DAT", 410)</f>
        <v>19:03:22.013</v>
      </c>
      <c r="B418" s="27">
        <f>RTD("rtdtrading.rtdserver",, "T&amp;T0", "PRE", 410)</f>
        <v>7349.25</v>
      </c>
      <c r="C418" s="28">
        <f>RTD("rtdtrading.rtdserver",, "T&amp;T0", "QUL", 410)</f>
        <v>1</v>
      </c>
      <c r="D418" s="28" t="str">
        <f>RTD("rtdtrading.rtdserver",, "T&amp;T0", "AGR", 410)</f>
        <v>Comprador</v>
      </c>
      <c r="G418" s="36" t="str">
        <f>RTD("rtdtrading.rtdserver",, "T&amp;T1", "DAT", 410)</f>
        <v>19:03:56.134</v>
      </c>
      <c r="H418" s="37">
        <f>RTD("rtdtrading.rtdserver",, "T&amp;T1", "PRE", 410)</f>
        <v>7349</v>
      </c>
      <c r="I418" s="38">
        <f>RTD("rtdtrading.rtdserver",, "T&amp;T1", "QUL", 410)</f>
        <v>3</v>
      </c>
      <c r="J418" s="39" t="str">
        <f>RTD("rtdtrading.rtdserver",, "T&amp;T1", "AGR", 410)</f>
        <v>Vendedor</v>
      </c>
    </row>
    <row r="419" spans="1:10" x14ac:dyDescent="0.25">
      <c r="A419" s="44" t="str">
        <f>RTD("rtdtrading.rtdserver",, "T&amp;T0", "DAT", 411)</f>
        <v>19:03:21.620</v>
      </c>
      <c r="B419" s="27">
        <f>RTD("rtdtrading.rtdserver",, "T&amp;T0", "PRE", 411)</f>
        <v>7349.5</v>
      </c>
      <c r="C419" s="28">
        <f>RTD("rtdtrading.rtdserver",, "T&amp;T0", "QUL", 411)</f>
        <v>1</v>
      </c>
      <c r="D419" s="28" t="str">
        <f>RTD("rtdtrading.rtdserver",, "T&amp;T0", "AGR", 411)</f>
        <v>Comprador</v>
      </c>
      <c r="G419" s="36" t="str">
        <f>RTD("rtdtrading.rtdserver",, "T&amp;T1", "DAT", 411)</f>
        <v>19:03:56.134</v>
      </c>
      <c r="H419" s="37">
        <f>RTD("rtdtrading.rtdserver",, "T&amp;T1", "PRE", 411)</f>
        <v>7349</v>
      </c>
      <c r="I419" s="38">
        <f>RTD("rtdtrading.rtdserver",, "T&amp;T1", "QUL", 411)</f>
        <v>1</v>
      </c>
      <c r="J419" s="39" t="str">
        <f>RTD("rtdtrading.rtdserver",, "T&amp;T1", "AGR", 411)</f>
        <v>Vendedor</v>
      </c>
    </row>
    <row r="420" spans="1:10" x14ac:dyDescent="0.25">
      <c r="A420" s="44" t="str">
        <f>RTD("rtdtrading.rtdserver",, "T&amp;T0", "DAT", 412)</f>
        <v>19:03:21.602</v>
      </c>
      <c r="B420" s="27">
        <f>RTD("rtdtrading.rtdserver",, "T&amp;T0", "PRE", 412)</f>
        <v>7349.25</v>
      </c>
      <c r="C420" s="28">
        <f>RTD("rtdtrading.rtdserver",, "T&amp;T0", "QUL", 412)</f>
        <v>1</v>
      </c>
      <c r="D420" s="28" t="str">
        <f>RTD("rtdtrading.rtdserver",, "T&amp;T0", "AGR", 412)</f>
        <v>Comprador</v>
      </c>
      <c r="G420" s="36" t="str">
        <f>RTD("rtdtrading.rtdserver",, "T&amp;T1", "DAT", 412)</f>
        <v>19:03:54.934</v>
      </c>
      <c r="H420" s="37">
        <f>RTD("rtdtrading.rtdserver",, "T&amp;T1", "PRE", 412)</f>
        <v>7349.25</v>
      </c>
      <c r="I420" s="38">
        <f>RTD("rtdtrading.rtdserver",, "T&amp;T1", "QUL", 412)</f>
        <v>1</v>
      </c>
      <c r="J420" s="39" t="str">
        <f>RTD("rtdtrading.rtdserver",, "T&amp;T1", "AGR", 412)</f>
        <v>Vendedor</v>
      </c>
    </row>
    <row r="421" spans="1:10" x14ac:dyDescent="0.25">
      <c r="A421" s="44" t="str">
        <f>RTD("rtdtrading.rtdserver",, "T&amp;T0", "DAT", 413)</f>
        <v>19:03:21.556</v>
      </c>
      <c r="B421" s="27">
        <f>RTD("rtdtrading.rtdserver",, "T&amp;T0", "PRE", 413)</f>
        <v>7349.5</v>
      </c>
      <c r="C421" s="28">
        <f>RTD("rtdtrading.rtdserver",, "T&amp;T0", "QUL", 413)</f>
        <v>1</v>
      </c>
      <c r="D421" s="28" t="str">
        <f>RTD("rtdtrading.rtdserver",, "T&amp;T0", "AGR", 413)</f>
        <v>Comprador</v>
      </c>
      <c r="G421" s="36" t="str">
        <f>RTD("rtdtrading.rtdserver",, "T&amp;T1", "DAT", 413)</f>
        <v>19:03:54.933</v>
      </c>
      <c r="H421" s="37">
        <f>RTD("rtdtrading.rtdserver",, "T&amp;T1", "PRE", 413)</f>
        <v>7349.25</v>
      </c>
      <c r="I421" s="38">
        <f>RTD("rtdtrading.rtdserver",, "T&amp;T1", "QUL", 413)</f>
        <v>2</v>
      </c>
      <c r="J421" s="39" t="str">
        <f>RTD("rtdtrading.rtdserver",, "T&amp;T1", "AGR", 413)</f>
        <v>Vendedor</v>
      </c>
    </row>
    <row r="422" spans="1:10" x14ac:dyDescent="0.25">
      <c r="A422" s="44" t="str">
        <f>RTD("rtdtrading.rtdserver",, "T&amp;T0", "DAT", 414)</f>
        <v>19:03:21.473</v>
      </c>
      <c r="B422" s="27">
        <f>RTD("rtdtrading.rtdserver",, "T&amp;T0", "PRE", 414)</f>
        <v>7349.5</v>
      </c>
      <c r="C422" s="28">
        <f>RTD("rtdtrading.rtdserver",, "T&amp;T0", "QUL", 414)</f>
        <v>1</v>
      </c>
      <c r="D422" s="28" t="str">
        <f>RTD("rtdtrading.rtdserver",, "T&amp;T0", "AGR", 414)</f>
        <v>Comprador</v>
      </c>
      <c r="G422" s="36" t="str">
        <f>RTD("rtdtrading.rtdserver",, "T&amp;T1", "DAT", 414)</f>
        <v>19:03:53.208</v>
      </c>
      <c r="H422" s="37">
        <f>RTD("rtdtrading.rtdserver",, "T&amp;T1", "PRE", 414)</f>
        <v>7349.25</v>
      </c>
      <c r="I422" s="38">
        <f>RTD("rtdtrading.rtdserver",, "T&amp;T1", "QUL", 414)</f>
        <v>1</v>
      </c>
      <c r="J422" s="39" t="str">
        <f>RTD("rtdtrading.rtdserver",, "T&amp;T1", "AGR", 414)</f>
        <v>Vendedor</v>
      </c>
    </row>
    <row r="423" spans="1:10" x14ac:dyDescent="0.25">
      <c r="A423" s="44" t="str">
        <f>RTD("rtdtrading.rtdserver",, "T&amp;T0", "DAT", 415)</f>
        <v>19:03:21.411</v>
      </c>
      <c r="B423" s="27">
        <f>RTD("rtdtrading.rtdserver",, "T&amp;T0", "PRE", 415)</f>
        <v>7349.5</v>
      </c>
      <c r="C423" s="28">
        <f>RTD("rtdtrading.rtdserver",, "T&amp;T0", "QUL", 415)</f>
        <v>3</v>
      </c>
      <c r="D423" s="28" t="str">
        <f>RTD("rtdtrading.rtdserver",, "T&amp;T0", "AGR", 415)</f>
        <v>Comprador</v>
      </c>
      <c r="G423" s="36" t="str">
        <f>RTD("rtdtrading.rtdserver",, "T&amp;T1", "DAT", 415)</f>
        <v>19:03:52.410</v>
      </c>
      <c r="H423" s="37">
        <f>RTD("rtdtrading.rtdserver",, "T&amp;T1", "PRE", 415)</f>
        <v>7349</v>
      </c>
      <c r="I423" s="38">
        <f>RTD("rtdtrading.rtdserver",, "T&amp;T1", "QUL", 415)</f>
        <v>1</v>
      </c>
      <c r="J423" s="39" t="str">
        <f>RTD("rtdtrading.rtdserver",, "T&amp;T1", "AGR", 415)</f>
        <v>Vendedor</v>
      </c>
    </row>
    <row r="424" spans="1:10" x14ac:dyDescent="0.25">
      <c r="A424" s="44" t="str">
        <f>RTD("rtdtrading.rtdserver",, "T&amp;T0", "DAT", 416)</f>
        <v>19:03:20.775</v>
      </c>
      <c r="B424" s="27">
        <f>RTD("rtdtrading.rtdserver",, "T&amp;T0", "PRE", 416)</f>
        <v>7349.5</v>
      </c>
      <c r="C424" s="28">
        <f>RTD("rtdtrading.rtdserver",, "T&amp;T0", "QUL", 416)</f>
        <v>1</v>
      </c>
      <c r="D424" s="28" t="str">
        <f>RTD("rtdtrading.rtdserver",, "T&amp;T0", "AGR", 416)</f>
        <v>Comprador</v>
      </c>
      <c r="G424" s="36" t="str">
        <f>RTD("rtdtrading.rtdserver",, "T&amp;T1", "DAT", 416)</f>
        <v>19:03:51.976</v>
      </c>
      <c r="H424" s="37">
        <f>RTD("rtdtrading.rtdserver",, "T&amp;T1", "PRE", 416)</f>
        <v>7349</v>
      </c>
      <c r="I424" s="38">
        <f>RTD("rtdtrading.rtdserver",, "T&amp;T1", "QUL", 416)</f>
        <v>1</v>
      </c>
      <c r="J424" s="39" t="str">
        <f>RTD("rtdtrading.rtdserver",, "T&amp;T1", "AGR", 416)</f>
        <v>Vendedor</v>
      </c>
    </row>
    <row r="425" spans="1:10" x14ac:dyDescent="0.25">
      <c r="A425" s="44" t="str">
        <f>RTD("rtdtrading.rtdserver",, "T&amp;T0", "DAT", 417)</f>
        <v>19:03:19.558</v>
      </c>
      <c r="B425" s="27">
        <f>RTD("rtdtrading.rtdserver",, "T&amp;T0", "PRE", 417)</f>
        <v>7349.5</v>
      </c>
      <c r="C425" s="28">
        <f>RTD("rtdtrading.rtdserver",, "T&amp;T0", "QUL", 417)</f>
        <v>3</v>
      </c>
      <c r="D425" s="28" t="str">
        <f>RTD("rtdtrading.rtdserver",, "T&amp;T0", "AGR", 417)</f>
        <v>Comprador</v>
      </c>
      <c r="G425" s="36" t="str">
        <f>RTD("rtdtrading.rtdserver",, "T&amp;T1", "DAT", 417)</f>
        <v>19:03:50.376</v>
      </c>
      <c r="H425" s="37">
        <f>RTD("rtdtrading.rtdserver",, "T&amp;T1", "PRE", 417)</f>
        <v>7349.25</v>
      </c>
      <c r="I425" s="38">
        <f>RTD("rtdtrading.rtdserver",, "T&amp;T1", "QUL", 417)</f>
        <v>1</v>
      </c>
      <c r="J425" s="39" t="str">
        <f>RTD("rtdtrading.rtdserver",, "T&amp;T1", "AGR", 417)</f>
        <v>Vendedor</v>
      </c>
    </row>
    <row r="426" spans="1:10" x14ac:dyDescent="0.25">
      <c r="A426" s="44" t="str">
        <f>RTD("rtdtrading.rtdserver",, "T&amp;T0", "DAT", 418)</f>
        <v>19:03:19.499</v>
      </c>
      <c r="B426" s="27">
        <f>RTD("rtdtrading.rtdserver",, "T&amp;T0", "PRE", 418)</f>
        <v>7349</v>
      </c>
      <c r="C426" s="28">
        <f>RTD("rtdtrading.rtdserver",, "T&amp;T0", "QUL", 418)</f>
        <v>10</v>
      </c>
      <c r="D426" s="28" t="str">
        <f>RTD("rtdtrading.rtdserver",, "T&amp;T0", "AGR", 418)</f>
        <v>Comprador</v>
      </c>
      <c r="G426" s="36" t="str">
        <f>RTD("rtdtrading.rtdserver",, "T&amp;T1", "DAT", 418)</f>
        <v>19:03:49.775</v>
      </c>
      <c r="H426" s="37">
        <f>RTD("rtdtrading.rtdserver",, "T&amp;T1", "PRE", 418)</f>
        <v>7348.75</v>
      </c>
      <c r="I426" s="38">
        <f>RTD("rtdtrading.rtdserver",, "T&amp;T1", "QUL", 418)</f>
        <v>2</v>
      </c>
      <c r="J426" s="39" t="str">
        <f>RTD("rtdtrading.rtdserver",, "T&amp;T1", "AGR", 418)</f>
        <v>Vendedor</v>
      </c>
    </row>
    <row r="427" spans="1:10" x14ac:dyDescent="0.25">
      <c r="A427" s="44" t="str">
        <f>RTD("rtdtrading.rtdserver",, "T&amp;T0", "DAT", 419)</f>
        <v>19:03:19.499</v>
      </c>
      <c r="B427" s="27">
        <f>RTD("rtdtrading.rtdserver",, "T&amp;T0", "PRE", 419)</f>
        <v>7349</v>
      </c>
      <c r="C427" s="28">
        <f>RTD("rtdtrading.rtdserver",, "T&amp;T0", "QUL", 419)</f>
        <v>1</v>
      </c>
      <c r="D427" s="28" t="str">
        <f>RTD("rtdtrading.rtdserver",, "T&amp;T0", "AGR", 419)</f>
        <v>Comprador</v>
      </c>
      <c r="G427" s="36" t="str">
        <f>RTD("rtdtrading.rtdserver",, "T&amp;T1", "DAT", 419)</f>
        <v>19:03:49.775</v>
      </c>
      <c r="H427" s="37">
        <f>RTD("rtdtrading.rtdserver",, "T&amp;T1", "PRE", 419)</f>
        <v>7349</v>
      </c>
      <c r="I427" s="38">
        <f>RTD("rtdtrading.rtdserver",, "T&amp;T1", "QUL", 419)</f>
        <v>13</v>
      </c>
      <c r="J427" s="39" t="str">
        <f>RTD("rtdtrading.rtdserver",, "T&amp;T1", "AGR", 419)</f>
        <v>Vendedor</v>
      </c>
    </row>
    <row r="428" spans="1:10" x14ac:dyDescent="0.25">
      <c r="A428" s="44" t="str">
        <f>RTD("rtdtrading.rtdserver",, "T&amp;T0", "DAT", 420)</f>
        <v>19:03:19.499</v>
      </c>
      <c r="B428" s="27">
        <f>RTD("rtdtrading.rtdserver",, "T&amp;T0", "PRE", 420)</f>
        <v>7349</v>
      </c>
      <c r="C428" s="28">
        <f>RTD("rtdtrading.rtdserver",, "T&amp;T0", "QUL", 420)</f>
        <v>1</v>
      </c>
      <c r="D428" s="28" t="str">
        <f>RTD("rtdtrading.rtdserver",, "T&amp;T0", "AGR", 420)</f>
        <v>Comprador</v>
      </c>
      <c r="G428" s="36" t="str">
        <f>RTD("rtdtrading.rtdserver",, "T&amp;T1", "DAT", 420)</f>
        <v>19:03:49.764</v>
      </c>
      <c r="H428" s="37">
        <f>RTD("rtdtrading.rtdserver",, "T&amp;T1", "PRE", 420)</f>
        <v>7349</v>
      </c>
      <c r="I428" s="38">
        <f>RTD("rtdtrading.rtdserver",, "T&amp;T1", "QUL", 420)</f>
        <v>1</v>
      </c>
      <c r="J428" s="39" t="str">
        <f>RTD("rtdtrading.rtdserver",, "T&amp;T1", "AGR", 420)</f>
        <v>Vendedor</v>
      </c>
    </row>
    <row r="429" spans="1:10" x14ac:dyDescent="0.25">
      <c r="A429" s="44" t="str">
        <f>RTD("rtdtrading.rtdserver",, "T&amp;T0", "DAT", 421)</f>
        <v>19:03:19.499</v>
      </c>
      <c r="B429" s="27">
        <f>RTD("rtdtrading.rtdserver",, "T&amp;T0", "PRE", 421)</f>
        <v>7349</v>
      </c>
      <c r="C429" s="28">
        <f>RTD("rtdtrading.rtdserver",, "T&amp;T0", "QUL", 421)</f>
        <v>1</v>
      </c>
      <c r="D429" s="28" t="str">
        <f>RTD("rtdtrading.rtdserver",, "T&amp;T0", "AGR", 421)</f>
        <v>Comprador</v>
      </c>
      <c r="G429" s="36" t="str">
        <f>RTD("rtdtrading.rtdserver",, "T&amp;T1", "DAT", 421)</f>
        <v>19:03:49.141</v>
      </c>
      <c r="H429" s="37">
        <f>RTD("rtdtrading.rtdserver",, "T&amp;T1", "PRE", 421)</f>
        <v>7349.25</v>
      </c>
      <c r="I429" s="38">
        <f>RTD("rtdtrading.rtdserver",, "T&amp;T1", "QUL", 421)</f>
        <v>3</v>
      </c>
      <c r="J429" s="39" t="str">
        <f>RTD("rtdtrading.rtdserver",, "T&amp;T1", "AGR", 421)</f>
        <v>Vendedor</v>
      </c>
    </row>
    <row r="430" spans="1:10" x14ac:dyDescent="0.25">
      <c r="A430" s="44" t="str">
        <f>RTD("rtdtrading.rtdserver",, "T&amp;T0", "DAT", 422)</f>
        <v>19:03:17.712</v>
      </c>
      <c r="B430" s="27">
        <f>RTD("rtdtrading.rtdserver",, "T&amp;T0", "PRE", 422)</f>
        <v>7349.5</v>
      </c>
      <c r="C430" s="28">
        <f>RTD("rtdtrading.rtdserver",, "T&amp;T0", "QUL", 422)</f>
        <v>2</v>
      </c>
      <c r="D430" s="28" t="str">
        <f>RTD("rtdtrading.rtdserver",, "T&amp;T0", "AGR", 422)</f>
        <v>Comprador</v>
      </c>
      <c r="G430" s="36" t="str">
        <f>RTD("rtdtrading.rtdserver",, "T&amp;T1", "DAT", 422)</f>
        <v>19:03:48.941</v>
      </c>
      <c r="H430" s="37">
        <f>RTD("rtdtrading.rtdserver",, "T&amp;T1", "PRE", 422)</f>
        <v>7349.25</v>
      </c>
      <c r="I430" s="38">
        <f>RTD("rtdtrading.rtdserver",, "T&amp;T1", "QUL", 422)</f>
        <v>1</v>
      </c>
      <c r="J430" s="39" t="str">
        <f>RTD("rtdtrading.rtdserver",, "T&amp;T1", "AGR", 422)</f>
        <v>Vendedor</v>
      </c>
    </row>
    <row r="431" spans="1:10" x14ac:dyDescent="0.25">
      <c r="A431" s="44" t="str">
        <f>RTD("rtdtrading.rtdserver",, "T&amp;T0", "DAT", 423)</f>
        <v>19:03:17.712</v>
      </c>
      <c r="B431" s="27">
        <f>RTD("rtdtrading.rtdserver",, "T&amp;T0", "PRE", 423)</f>
        <v>7349.25</v>
      </c>
      <c r="C431" s="28">
        <f>RTD("rtdtrading.rtdserver",, "T&amp;T0", "QUL", 423)</f>
        <v>1</v>
      </c>
      <c r="D431" s="28" t="str">
        <f>RTD("rtdtrading.rtdserver",, "T&amp;T0", "AGR", 423)</f>
        <v>Comprador</v>
      </c>
      <c r="G431" s="36" t="str">
        <f>RTD("rtdtrading.rtdserver",, "T&amp;T1", "DAT", 423)</f>
        <v>19:03:48.094</v>
      </c>
      <c r="H431" s="37">
        <f>RTD("rtdtrading.rtdserver",, "T&amp;T1", "PRE", 423)</f>
        <v>7349.25</v>
      </c>
      <c r="I431" s="38">
        <f>RTD("rtdtrading.rtdserver",, "T&amp;T1", "QUL", 423)</f>
        <v>1</v>
      </c>
      <c r="J431" s="39" t="str">
        <f>RTD("rtdtrading.rtdserver",, "T&amp;T1", "AGR", 423)</f>
        <v>Vendedor</v>
      </c>
    </row>
    <row r="432" spans="1:10" x14ac:dyDescent="0.25">
      <c r="A432" s="44" t="str">
        <f>RTD("rtdtrading.rtdserver",, "T&amp;T0", "DAT", 424)</f>
        <v>19:03:15.858</v>
      </c>
      <c r="B432" s="27">
        <f>RTD("rtdtrading.rtdserver",, "T&amp;T0", "PRE", 424)</f>
        <v>7349.25</v>
      </c>
      <c r="C432" s="28">
        <f>RTD("rtdtrading.rtdserver",, "T&amp;T0", "QUL", 424)</f>
        <v>2</v>
      </c>
      <c r="D432" s="28" t="str">
        <f>RTD("rtdtrading.rtdserver",, "T&amp;T0", "AGR", 424)</f>
        <v>Comprador</v>
      </c>
      <c r="G432" s="36" t="str">
        <f>RTD("rtdtrading.rtdserver",, "T&amp;T1", "DAT", 424)</f>
        <v>19:03:47.850</v>
      </c>
      <c r="H432" s="37">
        <f>RTD("rtdtrading.rtdserver",, "T&amp;T1", "PRE", 424)</f>
        <v>7349.25</v>
      </c>
      <c r="I432" s="38">
        <f>RTD("rtdtrading.rtdserver",, "T&amp;T1", "QUL", 424)</f>
        <v>5</v>
      </c>
      <c r="J432" s="39" t="str">
        <f>RTD("rtdtrading.rtdserver",, "T&amp;T1", "AGR", 424)</f>
        <v>Vendedor</v>
      </c>
    </row>
    <row r="433" spans="1:10" x14ac:dyDescent="0.25">
      <c r="A433" s="44" t="str">
        <f>RTD("rtdtrading.rtdserver",, "T&amp;T0", "DAT", 425)</f>
        <v>19:03:15.858</v>
      </c>
      <c r="B433" s="27">
        <f>RTD("rtdtrading.rtdserver",, "T&amp;T0", "PRE", 425)</f>
        <v>7349</v>
      </c>
      <c r="C433" s="28">
        <f>RTD("rtdtrading.rtdserver",, "T&amp;T0", "QUL", 425)</f>
        <v>1</v>
      </c>
      <c r="D433" s="28" t="str">
        <f>RTD("rtdtrading.rtdserver",, "T&amp;T0", "AGR", 425)</f>
        <v>Comprador</v>
      </c>
      <c r="G433" s="36" t="str">
        <f>RTD("rtdtrading.rtdserver",, "T&amp;T1", "DAT", 425)</f>
        <v>19:03:47.850</v>
      </c>
      <c r="H433" s="37">
        <f>RTD("rtdtrading.rtdserver",, "T&amp;T1", "PRE", 425)</f>
        <v>7349.25</v>
      </c>
      <c r="I433" s="38">
        <f>RTD("rtdtrading.rtdserver",, "T&amp;T1", "QUL", 425)</f>
        <v>1</v>
      </c>
      <c r="J433" s="39" t="str">
        <f>RTD("rtdtrading.rtdserver",, "T&amp;T1", "AGR", 425)</f>
        <v>Vendedor</v>
      </c>
    </row>
    <row r="434" spans="1:10" x14ac:dyDescent="0.25">
      <c r="A434" s="44" t="str">
        <f>RTD("rtdtrading.rtdserver",, "T&amp;T0", "DAT", 426)</f>
        <v>19:03:15.456</v>
      </c>
      <c r="B434" s="27">
        <f>RTD("rtdtrading.rtdserver",, "T&amp;T0", "PRE", 426)</f>
        <v>7349</v>
      </c>
      <c r="C434" s="28">
        <f>RTD("rtdtrading.rtdserver",, "T&amp;T0", "QUL", 426)</f>
        <v>1</v>
      </c>
      <c r="D434" s="28" t="str">
        <f>RTD("rtdtrading.rtdserver",, "T&amp;T0", "AGR", 426)</f>
        <v>Comprador</v>
      </c>
      <c r="G434" s="36" t="str">
        <f>RTD("rtdtrading.rtdserver",, "T&amp;T1", "DAT", 426)</f>
        <v>19:03:47.850</v>
      </c>
      <c r="H434" s="37">
        <f>RTD("rtdtrading.rtdserver",, "T&amp;T1", "PRE", 426)</f>
        <v>7349.25</v>
      </c>
      <c r="I434" s="38">
        <f>RTD("rtdtrading.rtdserver",, "T&amp;T1", "QUL", 426)</f>
        <v>2</v>
      </c>
      <c r="J434" s="39" t="str">
        <f>RTD("rtdtrading.rtdserver",, "T&amp;T1", "AGR", 426)</f>
        <v>Vendedor</v>
      </c>
    </row>
    <row r="435" spans="1:10" x14ac:dyDescent="0.25">
      <c r="A435" s="44" t="str">
        <f>RTD("rtdtrading.rtdserver",, "T&amp;T0", "DAT", 427)</f>
        <v>19:03:14.827</v>
      </c>
      <c r="B435" s="27">
        <f>RTD("rtdtrading.rtdserver",, "T&amp;T0", "PRE", 427)</f>
        <v>7349</v>
      </c>
      <c r="C435" s="28">
        <f>RTD("rtdtrading.rtdserver",, "T&amp;T0", "QUL", 427)</f>
        <v>1</v>
      </c>
      <c r="D435" s="28" t="str">
        <f>RTD("rtdtrading.rtdserver",, "T&amp;T0", "AGR", 427)</f>
        <v>Comprador</v>
      </c>
      <c r="G435" s="36" t="str">
        <f>RTD("rtdtrading.rtdserver",, "T&amp;T1", "DAT", 427)</f>
        <v>19:03:47.850</v>
      </c>
      <c r="H435" s="37">
        <f>RTD("rtdtrading.rtdserver",, "T&amp;T1", "PRE", 427)</f>
        <v>7349.25</v>
      </c>
      <c r="I435" s="38">
        <f>RTD("rtdtrading.rtdserver",, "T&amp;T1", "QUL", 427)</f>
        <v>3</v>
      </c>
      <c r="J435" s="39" t="str">
        <f>RTD("rtdtrading.rtdserver",, "T&amp;T1", "AGR", 427)</f>
        <v>Vendedor</v>
      </c>
    </row>
    <row r="436" spans="1:10" x14ac:dyDescent="0.25">
      <c r="A436" s="44" t="str">
        <f>RTD("rtdtrading.rtdserver",, "T&amp;T0", "DAT", 428)</f>
        <v>19:03:14.008</v>
      </c>
      <c r="B436" s="27">
        <f>RTD("rtdtrading.rtdserver",, "T&amp;T0", "PRE", 428)</f>
        <v>7349</v>
      </c>
      <c r="C436" s="28">
        <f>RTD("rtdtrading.rtdserver",, "T&amp;T0", "QUL", 428)</f>
        <v>3</v>
      </c>
      <c r="D436" s="28" t="str">
        <f>RTD("rtdtrading.rtdserver",, "T&amp;T0", "AGR", 428)</f>
        <v>Comprador</v>
      </c>
      <c r="G436" s="36" t="str">
        <f>RTD("rtdtrading.rtdserver",, "T&amp;T1", "DAT", 428)</f>
        <v>19:03:46.614</v>
      </c>
      <c r="H436" s="37">
        <f>RTD("rtdtrading.rtdserver",, "T&amp;T1", "PRE", 428)</f>
        <v>7349.25</v>
      </c>
      <c r="I436" s="38">
        <f>RTD("rtdtrading.rtdserver",, "T&amp;T1", "QUL", 428)</f>
        <v>1</v>
      </c>
      <c r="J436" s="39" t="str">
        <f>RTD("rtdtrading.rtdserver",, "T&amp;T1", "AGR", 428)</f>
        <v>Vendedor</v>
      </c>
    </row>
    <row r="437" spans="1:10" x14ac:dyDescent="0.25">
      <c r="A437" s="44" t="str">
        <f>RTD("rtdtrading.rtdserver",, "T&amp;T0", "DAT", 429)</f>
        <v>19:03:13.078</v>
      </c>
      <c r="B437" s="27">
        <f>RTD("rtdtrading.rtdserver",, "T&amp;T0", "PRE", 429)</f>
        <v>7349</v>
      </c>
      <c r="C437" s="28">
        <f>RTD("rtdtrading.rtdserver",, "T&amp;T0", "QUL", 429)</f>
        <v>1</v>
      </c>
      <c r="D437" s="28" t="str">
        <f>RTD("rtdtrading.rtdserver",, "T&amp;T0", "AGR", 429)</f>
        <v>Comprador</v>
      </c>
      <c r="G437" s="36" t="str">
        <f>RTD("rtdtrading.rtdserver",, "T&amp;T1", "DAT", 429)</f>
        <v>19:03:46.460</v>
      </c>
      <c r="H437" s="37">
        <f>RTD("rtdtrading.rtdserver",, "T&amp;T1", "PRE", 429)</f>
        <v>7349.25</v>
      </c>
      <c r="I437" s="38">
        <f>RTD("rtdtrading.rtdserver",, "T&amp;T1", "QUL", 429)</f>
        <v>5</v>
      </c>
      <c r="J437" s="39" t="str">
        <f>RTD("rtdtrading.rtdserver",, "T&amp;T1", "AGR", 429)</f>
        <v>Vendedor</v>
      </c>
    </row>
    <row r="438" spans="1:10" x14ac:dyDescent="0.25">
      <c r="A438" s="44" t="str">
        <f>RTD("rtdtrading.rtdserver",, "T&amp;T0", "DAT", 430)</f>
        <v>19:03:13.055</v>
      </c>
      <c r="B438" s="27">
        <f>RTD("rtdtrading.rtdserver",, "T&amp;T0", "PRE", 430)</f>
        <v>7349</v>
      </c>
      <c r="C438" s="28">
        <f>RTD("rtdtrading.rtdserver",, "T&amp;T0", "QUL", 430)</f>
        <v>1</v>
      </c>
      <c r="D438" s="28" t="str">
        <f>RTD("rtdtrading.rtdserver",, "T&amp;T0", "AGR", 430)</f>
        <v>Comprador</v>
      </c>
      <c r="G438" s="36" t="str">
        <f>RTD("rtdtrading.rtdserver",, "T&amp;T1", "DAT", 430)</f>
        <v>19:03:46.205</v>
      </c>
      <c r="H438" s="37">
        <f>RTD("rtdtrading.rtdserver",, "T&amp;T1", "PRE", 430)</f>
        <v>7349.25</v>
      </c>
      <c r="I438" s="38">
        <f>RTD("rtdtrading.rtdserver",, "T&amp;T1", "QUL", 430)</f>
        <v>2</v>
      </c>
      <c r="J438" s="39" t="str">
        <f>RTD("rtdtrading.rtdserver",, "T&amp;T1", "AGR", 430)</f>
        <v>Vendedor</v>
      </c>
    </row>
    <row r="439" spans="1:10" x14ac:dyDescent="0.25">
      <c r="A439" s="44" t="str">
        <f>RTD("rtdtrading.rtdserver",, "T&amp;T0", "DAT", 431)</f>
        <v>19:03:12.505</v>
      </c>
      <c r="B439" s="27">
        <f>RTD("rtdtrading.rtdserver",, "T&amp;T0", "PRE", 431)</f>
        <v>7348.75</v>
      </c>
      <c r="C439" s="28">
        <f>RTD("rtdtrading.rtdserver",, "T&amp;T0", "QUL", 431)</f>
        <v>5</v>
      </c>
      <c r="D439" s="28" t="str">
        <f>RTD("rtdtrading.rtdserver",, "T&amp;T0", "AGR", 431)</f>
        <v>Comprador</v>
      </c>
      <c r="G439" s="36" t="str">
        <f>RTD("rtdtrading.rtdserver",, "T&amp;T1", "DAT", 431)</f>
        <v>19:03:45.823</v>
      </c>
      <c r="H439" s="37">
        <f>RTD("rtdtrading.rtdserver",, "T&amp;T1", "PRE", 431)</f>
        <v>7349.25</v>
      </c>
      <c r="I439" s="38">
        <f>RTD("rtdtrading.rtdserver",, "T&amp;T1", "QUL", 431)</f>
        <v>1</v>
      </c>
      <c r="J439" s="39" t="str">
        <f>RTD("rtdtrading.rtdserver",, "T&amp;T1", "AGR", 431)</f>
        <v>Vendedor</v>
      </c>
    </row>
    <row r="440" spans="1:10" x14ac:dyDescent="0.25">
      <c r="A440" s="44" t="str">
        <f>RTD("rtdtrading.rtdserver",, "T&amp;T0", "DAT", 432)</f>
        <v>19:03:12.505</v>
      </c>
      <c r="B440" s="27">
        <f>RTD("rtdtrading.rtdserver",, "T&amp;T0", "PRE", 432)</f>
        <v>7348.75</v>
      </c>
      <c r="C440" s="28">
        <f>RTD("rtdtrading.rtdserver",, "T&amp;T0", "QUL", 432)</f>
        <v>1</v>
      </c>
      <c r="D440" s="28" t="str">
        <f>RTD("rtdtrading.rtdserver",, "T&amp;T0", "AGR", 432)</f>
        <v>Comprador</v>
      </c>
      <c r="G440" s="36" t="str">
        <f>RTD("rtdtrading.rtdserver",, "T&amp;T1", "DAT", 432)</f>
        <v>19:03:45.456</v>
      </c>
      <c r="H440" s="37">
        <f>RTD("rtdtrading.rtdserver",, "T&amp;T1", "PRE", 432)</f>
        <v>7349.25</v>
      </c>
      <c r="I440" s="38">
        <f>RTD("rtdtrading.rtdserver",, "T&amp;T1", "QUL", 432)</f>
        <v>1</v>
      </c>
      <c r="J440" s="39" t="str">
        <f>RTD("rtdtrading.rtdserver",, "T&amp;T1", "AGR", 432)</f>
        <v>Vendedor</v>
      </c>
    </row>
    <row r="441" spans="1:10" x14ac:dyDescent="0.25">
      <c r="A441" s="44" t="str">
        <f>RTD("rtdtrading.rtdserver",, "T&amp;T0", "DAT", 433)</f>
        <v>19:03:12.505</v>
      </c>
      <c r="B441" s="27">
        <f>RTD("rtdtrading.rtdserver",, "T&amp;T0", "PRE", 433)</f>
        <v>7348.75</v>
      </c>
      <c r="C441" s="28">
        <f>RTD("rtdtrading.rtdserver",, "T&amp;T0", "QUL", 433)</f>
        <v>1</v>
      </c>
      <c r="D441" s="28" t="str">
        <f>RTD("rtdtrading.rtdserver",, "T&amp;T0", "AGR", 433)</f>
        <v>Comprador</v>
      </c>
      <c r="G441" s="36" t="str">
        <f>RTD("rtdtrading.rtdserver",, "T&amp;T1", "DAT", 433)</f>
        <v>19:03:43.792</v>
      </c>
      <c r="H441" s="37">
        <f>RTD("rtdtrading.rtdserver",, "T&amp;T1", "PRE", 433)</f>
        <v>7349</v>
      </c>
      <c r="I441" s="38">
        <f>RTD("rtdtrading.rtdserver",, "T&amp;T1", "QUL", 433)</f>
        <v>1</v>
      </c>
      <c r="J441" s="39" t="str">
        <f>RTD("rtdtrading.rtdserver",, "T&amp;T1", "AGR", 433)</f>
        <v>Vendedor</v>
      </c>
    </row>
    <row r="442" spans="1:10" x14ac:dyDescent="0.25">
      <c r="A442" s="44" t="str">
        <f>RTD("rtdtrading.rtdserver",, "T&amp;T0", "DAT", 434)</f>
        <v>19:03:12.064</v>
      </c>
      <c r="B442" s="27">
        <f>RTD("rtdtrading.rtdserver",, "T&amp;T0", "PRE", 434)</f>
        <v>7348.5</v>
      </c>
      <c r="C442" s="28">
        <f>RTD("rtdtrading.rtdserver",, "T&amp;T0", "QUL", 434)</f>
        <v>2</v>
      </c>
      <c r="D442" s="28" t="str">
        <f>RTD("rtdtrading.rtdserver",, "T&amp;T0", "AGR", 434)</f>
        <v>Comprador</v>
      </c>
      <c r="G442" s="36" t="str">
        <f>RTD("rtdtrading.rtdserver",, "T&amp;T1", "DAT", 434)</f>
        <v>19:03:42.959</v>
      </c>
      <c r="H442" s="37">
        <f>RTD("rtdtrading.rtdserver",, "T&amp;T1", "PRE", 434)</f>
        <v>7349</v>
      </c>
      <c r="I442" s="38">
        <f>RTD("rtdtrading.rtdserver",, "T&amp;T1", "QUL", 434)</f>
        <v>1</v>
      </c>
      <c r="J442" s="39" t="str">
        <f>RTD("rtdtrading.rtdserver",, "T&amp;T1", "AGR", 434)</f>
        <v>Vendedor</v>
      </c>
    </row>
    <row r="443" spans="1:10" x14ac:dyDescent="0.25">
      <c r="A443" s="44" t="str">
        <f>RTD("rtdtrading.rtdserver",, "T&amp;T0", "DAT", 435)</f>
        <v>19:03:12.064</v>
      </c>
      <c r="B443" s="27">
        <f>RTD("rtdtrading.rtdserver",, "T&amp;T0", "PRE", 435)</f>
        <v>7348.5</v>
      </c>
      <c r="C443" s="28">
        <f>RTD("rtdtrading.rtdserver",, "T&amp;T0", "QUL", 435)</f>
        <v>3</v>
      </c>
      <c r="D443" s="28" t="str">
        <f>RTD("rtdtrading.rtdserver",, "T&amp;T0", "AGR", 435)</f>
        <v>Comprador</v>
      </c>
      <c r="G443" s="36" t="str">
        <f>RTD("rtdtrading.rtdserver",, "T&amp;T1", "DAT", 435)</f>
        <v>19:03:42.024</v>
      </c>
      <c r="H443" s="37">
        <f>RTD("rtdtrading.rtdserver",, "T&amp;T1", "PRE", 435)</f>
        <v>7349</v>
      </c>
      <c r="I443" s="38">
        <f>RTD("rtdtrading.rtdserver",, "T&amp;T1", "QUL", 435)</f>
        <v>9</v>
      </c>
      <c r="J443" s="39" t="str">
        <f>RTD("rtdtrading.rtdserver",, "T&amp;T1", "AGR", 435)</f>
        <v>Vendedor</v>
      </c>
    </row>
    <row r="444" spans="1:10" x14ac:dyDescent="0.25">
      <c r="A444" s="44" t="str">
        <f>RTD("rtdtrading.rtdserver",, "T&amp;T0", "DAT", 436)</f>
        <v>19:03:12.062</v>
      </c>
      <c r="B444" s="27">
        <f>RTD("rtdtrading.rtdserver",, "T&amp;T0", "PRE", 436)</f>
        <v>7348.5</v>
      </c>
      <c r="C444" s="28">
        <f>RTD("rtdtrading.rtdserver",, "T&amp;T0", "QUL", 436)</f>
        <v>3</v>
      </c>
      <c r="D444" s="28" t="str">
        <f>RTD("rtdtrading.rtdserver",, "T&amp;T0", "AGR", 436)</f>
        <v>Comprador</v>
      </c>
      <c r="G444" s="36" t="str">
        <f>RTD("rtdtrading.rtdserver",, "T&amp;T1", "DAT", 436)</f>
        <v>19:03:41.171</v>
      </c>
      <c r="H444" s="37">
        <f>RTD("rtdtrading.rtdserver",, "T&amp;T1", "PRE", 436)</f>
        <v>7348.75</v>
      </c>
      <c r="I444" s="38">
        <f>RTD("rtdtrading.rtdserver",, "T&amp;T1", "QUL", 436)</f>
        <v>1</v>
      </c>
      <c r="J444" s="39" t="str">
        <f>RTD("rtdtrading.rtdserver",, "T&amp;T1", "AGR", 436)</f>
        <v>Vendedor</v>
      </c>
    </row>
    <row r="445" spans="1:10" x14ac:dyDescent="0.25">
      <c r="A445" s="44" t="str">
        <f>RTD("rtdtrading.rtdserver",, "T&amp;T0", "DAT", 437)</f>
        <v>19:03:10.860</v>
      </c>
      <c r="B445" s="27">
        <f>RTD("rtdtrading.rtdserver",, "T&amp;T0", "PRE", 437)</f>
        <v>7348.25</v>
      </c>
      <c r="C445" s="28">
        <f>RTD("rtdtrading.rtdserver",, "T&amp;T0", "QUL", 437)</f>
        <v>1</v>
      </c>
      <c r="D445" s="28" t="str">
        <f>RTD("rtdtrading.rtdserver",, "T&amp;T0", "AGR", 437)</f>
        <v>Comprador</v>
      </c>
      <c r="G445" s="36" t="str">
        <f>RTD("rtdtrading.rtdserver",, "T&amp;T1", "DAT", 437)</f>
        <v>19:03:41.171</v>
      </c>
      <c r="H445" s="37">
        <f>RTD("rtdtrading.rtdserver",, "T&amp;T1", "PRE", 437)</f>
        <v>7348.5</v>
      </c>
      <c r="I445" s="38">
        <f>RTD("rtdtrading.rtdserver",, "T&amp;T1", "QUL", 437)</f>
        <v>5</v>
      </c>
      <c r="J445" s="39" t="str">
        <f>RTD("rtdtrading.rtdserver",, "T&amp;T1", "AGR", 437)</f>
        <v>Vendedor</v>
      </c>
    </row>
    <row r="446" spans="1:10" x14ac:dyDescent="0.25">
      <c r="A446" s="44" t="str">
        <f>RTD("rtdtrading.rtdserver",, "T&amp;T0", "DAT", 438)</f>
        <v>19:03:10.332</v>
      </c>
      <c r="B446" s="27">
        <f>RTD("rtdtrading.rtdserver",, "T&amp;T0", "PRE", 438)</f>
        <v>7348</v>
      </c>
      <c r="C446" s="28">
        <f>RTD("rtdtrading.rtdserver",, "T&amp;T0", "QUL", 438)</f>
        <v>18</v>
      </c>
      <c r="D446" s="28" t="str">
        <f>RTD("rtdtrading.rtdserver",, "T&amp;T0", "AGR", 438)</f>
        <v>Comprador</v>
      </c>
      <c r="G446" s="36" t="str">
        <f>RTD("rtdtrading.rtdserver",, "T&amp;T1", "DAT", 438)</f>
        <v>19:03:40.486</v>
      </c>
      <c r="H446" s="37">
        <f>RTD("rtdtrading.rtdserver",, "T&amp;T1", "PRE", 438)</f>
        <v>7348.5</v>
      </c>
      <c r="I446" s="38">
        <f>RTD("rtdtrading.rtdserver",, "T&amp;T1", "QUL", 438)</f>
        <v>1</v>
      </c>
      <c r="J446" s="39" t="str">
        <f>RTD("rtdtrading.rtdserver",, "T&amp;T1", "AGR", 438)</f>
        <v>Vendedor</v>
      </c>
    </row>
    <row r="447" spans="1:10" x14ac:dyDescent="0.25">
      <c r="A447" s="44" t="str">
        <f>RTD("rtdtrading.rtdserver",, "T&amp;T0", "DAT", 439)</f>
        <v>19:03:10.332</v>
      </c>
      <c r="B447" s="27">
        <f>RTD("rtdtrading.rtdserver",, "T&amp;T0", "PRE", 439)</f>
        <v>7348</v>
      </c>
      <c r="C447" s="28">
        <f>RTD("rtdtrading.rtdserver",, "T&amp;T0", "QUL", 439)</f>
        <v>2</v>
      </c>
      <c r="D447" s="28" t="str">
        <f>RTD("rtdtrading.rtdserver",, "T&amp;T0", "AGR", 439)</f>
        <v>Comprador</v>
      </c>
      <c r="G447" s="36" t="str">
        <f>RTD("rtdtrading.rtdserver",, "T&amp;T1", "DAT", 439)</f>
        <v>19:03:39.925</v>
      </c>
      <c r="H447" s="37">
        <f>RTD("rtdtrading.rtdserver",, "T&amp;T1", "PRE", 439)</f>
        <v>7348.5</v>
      </c>
      <c r="I447" s="38">
        <f>RTD("rtdtrading.rtdserver",, "T&amp;T1", "QUL", 439)</f>
        <v>1</v>
      </c>
      <c r="J447" s="39" t="str">
        <f>RTD("rtdtrading.rtdserver",, "T&amp;T1", "AGR", 439)</f>
        <v>Vendedor</v>
      </c>
    </row>
    <row r="448" spans="1:10" x14ac:dyDescent="0.25">
      <c r="A448" s="44" t="str">
        <f>RTD("rtdtrading.rtdserver",, "T&amp;T0", "DAT", 440)</f>
        <v>19:03:10.038</v>
      </c>
      <c r="B448" s="27">
        <f>RTD("rtdtrading.rtdserver",, "T&amp;T0", "PRE", 440)</f>
        <v>7348</v>
      </c>
      <c r="C448" s="28">
        <f>RTD("rtdtrading.rtdserver",, "T&amp;T0", "QUL", 440)</f>
        <v>1</v>
      </c>
      <c r="D448" s="28" t="str">
        <f>RTD("rtdtrading.rtdserver",, "T&amp;T0", "AGR", 440)</f>
        <v>Comprador</v>
      </c>
      <c r="G448" s="36" t="str">
        <f>RTD("rtdtrading.rtdserver",, "T&amp;T1", "DAT", 440)</f>
        <v>19:03:39.923</v>
      </c>
      <c r="H448" s="37">
        <f>RTD("rtdtrading.rtdserver",, "T&amp;T1", "PRE", 440)</f>
        <v>7348.5</v>
      </c>
      <c r="I448" s="38">
        <f>RTD("rtdtrading.rtdserver",, "T&amp;T1", "QUL", 440)</f>
        <v>1</v>
      </c>
      <c r="J448" s="39" t="str">
        <f>RTD("rtdtrading.rtdserver",, "T&amp;T1", "AGR", 440)</f>
        <v>Vendedor</v>
      </c>
    </row>
    <row r="449" spans="1:10" x14ac:dyDescent="0.25">
      <c r="A449" s="44" t="str">
        <f>RTD("rtdtrading.rtdserver",, "T&amp;T0", "DAT", 441)</f>
        <v>19:03:10.021</v>
      </c>
      <c r="B449" s="27">
        <f>RTD("rtdtrading.rtdserver",, "T&amp;T0", "PRE", 441)</f>
        <v>7348</v>
      </c>
      <c r="C449" s="28">
        <f>RTD("rtdtrading.rtdserver",, "T&amp;T0", "QUL", 441)</f>
        <v>4</v>
      </c>
      <c r="D449" s="28" t="str">
        <f>RTD("rtdtrading.rtdserver",, "T&amp;T0", "AGR", 441)</f>
        <v>Comprador</v>
      </c>
      <c r="G449" s="36" t="str">
        <f>RTD("rtdtrading.rtdserver",, "T&amp;T1", "DAT", 441)</f>
        <v>19:03:39.806</v>
      </c>
      <c r="H449" s="37">
        <f>RTD("rtdtrading.rtdserver",, "T&amp;T1", "PRE", 441)</f>
        <v>7348.75</v>
      </c>
      <c r="I449" s="38">
        <f>RTD("rtdtrading.rtdserver",, "T&amp;T1", "QUL", 441)</f>
        <v>1</v>
      </c>
      <c r="J449" s="39" t="str">
        <f>RTD("rtdtrading.rtdserver",, "T&amp;T1", "AGR", 441)</f>
        <v>Vendedor</v>
      </c>
    </row>
    <row r="450" spans="1:10" x14ac:dyDescent="0.25">
      <c r="A450" s="44" t="str">
        <f>RTD("rtdtrading.rtdserver",, "T&amp;T0", "DAT", 442)</f>
        <v>19:03:10.015</v>
      </c>
      <c r="B450" s="27">
        <f>RTD("rtdtrading.rtdserver",, "T&amp;T0", "PRE", 442)</f>
        <v>7348</v>
      </c>
      <c r="C450" s="28">
        <f>RTD("rtdtrading.rtdserver",, "T&amp;T0", "QUL", 442)</f>
        <v>2</v>
      </c>
      <c r="D450" s="28" t="str">
        <f>RTD("rtdtrading.rtdserver",, "T&amp;T0", "AGR", 442)</f>
        <v>Comprador</v>
      </c>
      <c r="G450" s="36" t="str">
        <f>RTD("rtdtrading.rtdserver",, "T&amp;T1", "DAT", 442)</f>
        <v>19:03:38.867</v>
      </c>
      <c r="H450" s="37">
        <f>RTD("rtdtrading.rtdserver",, "T&amp;T1", "PRE", 442)</f>
        <v>7348.75</v>
      </c>
      <c r="I450" s="38">
        <f>RTD("rtdtrading.rtdserver",, "T&amp;T1", "QUL", 442)</f>
        <v>2</v>
      </c>
      <c r="J450" s="39" t="str">
        <f>RTD("rtdtrading.rtdserver",, "T&amp;T1", "AGR", 442)</f>
        <v>Vendedor</v>
      </c>
    </row>
    <row r="451" spans="1:10" x14ac:dyDescent="0.25">
      <c r="A451" s="44" t="str">
        <f>RTD("rtdtrading.rtdserver",, "T&amp;T0", "DAT", 443)</f>
        <v>19:03:10.015</v>
      </c>
      <c r="B451" s="27">
        <f>RTD("rtdtrading.rtdserver",, "T&amp;T0", "PRE", 443)</f>
        <v>7347.75</v>
      </c>
      <c r="C451" s="28">
        <f>RTD("rtdtrading.rtdserver",, "T&amp;T0", "QUL", 443)</f>
        <v>1</v>
      </c>
      <c r="D451" s="28" t="str">
        <f>RTD("rtdtrading.rtdserver",, "T&amp;T0", "AGR", 443)</f>
        <v>Comprador</v>
      </c>
      <c r="G451" s="36" t="str">
        <f>RTD("rtdtrading.rtdserver",, "T&amp;T1", "DAT", 443)</f>
        <v>19:03:38.346</v>
      </c>
      <c r="H451" s="37">
        <f>RTD("rtdtrading.rtdserver",, "T&amp;T1", "PRE", 443)</f>
        <v>7348.75</v>
      </c>
      <c r="I451" s="38">
        <f>RTD("rtdtrading.rtdserver",, "T&amp;T1", "QUL", 443)</f>
        <v>4</v>
      </c>
      <c r="J451" s="39" t="str">
        <f>RTD("rtdtrading.rtdserver",, "T&amp;T1", "AGR", 443)</f>
        <v>Vendedor</v>
      </c>
    </row>
    <row r="452" spans="1:10" x14ac:dyDescent="0.25">
      <c r="A452" s="44" t="str">
        <f>RTD("rtdtrading.rtdserver",, "T&amp;T0", "DAT", 444)</f>
        <v>19:03:09.849</v>
      </c>
      <c r="B452" s="27">
        <f>RTD("rtdtrading.rtdserver",, "T&amp;T0", "PRE", 444)</f>
        <v>7347.5</v>
      </c>
      <c r="C452" s="28">
        <f>RTD("rtdtrading.rtdserver",, "T&amp;T0", "QUL", 444)</f>
        <v>5</v>
      </c>
      <c r="D452" s="28" t="str">
        <f>RTD("rtdtrading.rtdserver",, "T&amp;T0", "AGR", 444)</f>
        <v>Comprador</v>
      </c>
      <c r="G452" s="36" t="str">
        <f>RTD("rtdtrading.rtdserver",, "T&amp;T1", "DAT", 444)</f>
        <v>19:03:38.345</v>
      </c>
      <c r="H452" s="37">
        <f>RTD("rtdtrading.rtdserver",, "T&amp;T1", "PRE", 444)</f>
        <v>7348.75</v>
      </c>
      <c r="I452" s="38">
        <f>RTD("rtdtrading.rtdserver",, "T&amp;T1", "QUL", 444)</f>
        <v>3</v>
      </c>
      <c r="J452" s="39" t="str">
        <f>RTD("rtdtrading.rtdserver",, "T&amp;T1", "AGR", 444)</f>
        <v>Vendedor</v>
      </c>
    </row>
    <row r="453" spans="1:10" x14ac:dyDescent="0.25">
      <c r="A453" s="44" t="str">
        <f>RTD("rtdtrading.rtdserver",, "T&amp;T0", "DAT", 445)</f>
        <v>19:03:08.111</v>
      </c>
      <c r="B453" s="27">
        <f>RTD("rtdtrading.rtdserver",, "T&amp;T0", "PRE", 445)</f>
        <v>7347.5</v>
      </c>
      <c r="C453" s="28">
        <f>RTD("rtdtrading.rtdserver",, "T&amp;T0", "QUL", 445)</f>
        <v>3</v>
      </c>
      <c r="D453" s="28" t="str">
        <f>RTD("rtdtrading.rtdserver",, "T&amp;T0", "AGR", 445)</f>
        <v>Comprador</v>
      </c>
      <c r="G453" s="36" t="str">
        <f>RTD("rtdtrading.rtdserver",, "T&amp;T1", "DAT", 445)</f>
        <v>19:03:38.052</v>
      </c>
      <c r="H453" s="37">
        <f>RTD("rtdtrading.rtdserver",, "T&amp;T1", "PRE", 445)</f>
        <v>7349</v>
      </c>
      <c r="I453" s="38">
        <f>RTD("rtdtrading.rtdserver",, "T&amp;T1", "QUL", 445)</f>
        <v>1</v>
      </c>
      <c r="J453" s="39" t="str">
        <f>RTD("rtdtrading.rtdserver",, "T&amp;T1", "AGR", 445)</f>
        <v>Vendedor</v>
      </c>
    </row>
    <row r="454" spans="1:10" x14ac:dyDescent="0.25">
      <c r="A454" s="44" t="str">
        <f>RTD("rtdtrading.rtdserver",, "T&amp;T0", "DAT", 446)</f>
        <v>19:03:07.225</v>
      </c>
      <c r="B454" s="27">
        <f>RTD("rtdtrading.rtdserver",, "T&amp;T0", "PRE", 446)</f>
        <v>7347.5</v>
      </c>
      <c r="C454" s="28">
        <f>RTD("rtdtrading.rtdserver",, "T&amp;T0", "QUL", 446)</f>
        <v>1</v>
      </c>
      <c r="D454" s="28" t="str">
        <f>RTD("rtdtrading.rtdserver",, "T&amp;T0", "AGR", 446)</f>
        <v>Comprador</v>
      </c>
      <c r="G454" s="36" t="str">
        <f>RTD("rtdtrading.rtdserver",, "T&amp;T1", "DAT", 446)</f>
        <v>19:03:38.052</v>
      </c>
      <c r="H454" s="37">
        <f>RTD("rtdtrading.rtdserver",, "T&amp;T1", "PRE", 446)</f>
        <v>7349</v>
      </c>
      <c r="I454" s="38">
        <f>RTD("rtdtrading.rtdserver",, "T&amp;T1", "QUL", 446)</f>
        <v>1</v>
      </c>
      <c r="J454" s="39" t="str">
        <f>RTD("rtdtrading.rtdserver",, "T&amp;T1", "AGR", 446)</f>
        <v>Vendedor</v>
      </c>
    </row>
    <row r="455" spans="1:10" x14ac:dyDescent="0.25">
      <c r="A455" s="44" t="str">
        <f>RTD("rtdtrading.rtdserver",, "T&amp;T0", "DAT", 447)</f>
        <v>19:03:06.577</v>
      </c>
      <c r="B455" s="27">
        <f>RTD("rtdtrading.rtdserver",, "T&amp;T0", "PRE", 447)</f>
        <v>7347.25</v>
      </c>
      <c r="C455" s="28">
        <f>RTD("rtdtrading.rtdserver",, "T&amp;T0", "QUL", 447)</f>
        <v>1</v>
      </c>
      <c r="D455" s="28" t="str">
        <f>RTD("rtdtrading.rtdserver",, "T&amp;T0", "AGR", 447)</f>
        <v>Comprador</v>
      </c>
      <c r="G455" s="36" t="str">
        <f>RTD("rtdtrading.rtdserver",, "T&amp;T1", "DAT", 447)</f>
        <v>19:03:37.684</v>
      </c>
      <c r="H455" s="37">
        <f>RTD("rtdtrading.rtdserver",, "T&amp;T1", "PRE", 447)</f>
        <v>7349</v>
      </c>
      <c r="I455" s="38">
        <f>RTD("rtdtrading.rtdserver",, "T&amp;T1", "QUL", 447)</f>
        <v>1</v>
      </c>
      <c r="J455" s="39" t="str">
        <f>RTD("rtdtrading.rtdserver",, "T&amp;T1", "AGR", 447)</f>
        <v>Vendedor</v>
      </c>
    </row>
    <row r="456" spans="1:10" x14ac:dyDescent="0.25">
      <c r="A456" s="44" t="str">
        <f>RTD("rtdtrading.rtdserver",, "T&amp;T0", "DAT", 448)</f>
        <v>19:03:05.133</v>
      </c>
      <c r="B456" s="27">
        <f>RTD("rtdtrading.rtdserver",, "T&amp;T0", "PRE", 448)</f>
        <v>7347.25</v>
      </c>
      <c r="C456" s="28">
        <f>RTD("rtdtrading.rtdserver",, "T&amp;T0", "QUL", 448)</f>
        <v>1</v>
      </c>
      <c r="D456" s="28" t="str">
        <f>RTD("rtdtrading.rtdserver",, "T&amp;T0", "AGR", 448)</f>
        <v>Comprador</v>
      </c>
      <c r="G456" s="36" t="str">
        <f>RTD("rtdtrading.rtdserver",, "T&amp;T1", "DAT", 448)</f>
        <v>19:03:37.464</v>
      </c>
      <c r="H456" s="37">
        <f>RTD("rtdtrading.rtdserver",, "T&amp;T1", "PRE", 448)</f>
        <v>7349</v>
      </c>
      <c r="I456" s="38">
        <f>RTD("rtdtrading.rtdserver",, "T&amp;T1", "QUL", 448)</f>
        <v>2</v>
      </c>
      <c r="J456" s="39" t="str">
        <f>RTD("rtdtrading.rtdserver",, "T&amp;T1", "AGR", 448)</f>
        <v>Vendedor</v>
      </c>
    </row>
    <row r="457" spans="1:10" x14ac:dyDescent="0.25">
      <c r="A457" s="44" t="str">
        <f>RTD("rtdtrading.rtdserver",, "T&amp;T0", "DAT", 449)</f>
        <v>19:03:04.414</v>
      </c>
      <c r="B457" s="27">
        <f>RTD("rtdtrading.rtdserver",, "T&amp;T0", "PRE", 449)</f>
        <v>7347.25</v>
      </c>
      <c r="C457" s="28">
        <f>RTD("rtdtrading.rtdserver",, "T&amp;T0", "QUL", 449)</f>
        <v>1</v>
      </c>
      <c r="D457" s="28" t="str">
        <f>RTD("rtdtrading.rtdserver",, "T&amp;T0", "AGR", 449)</f>
        <v>Comprador</v>
      </c>
      <c r="G457" s="36" t="str">
        <f>RTD("rtdtrading.rtdserver",, "T&amp;T1", "DAT", 449)</f>
        <v>19:03:36.855</v>
      </c>
      <c r="H457" s="37">
        <f>RTD("rtdtrading.rtdserver",, "T&amp;T1", "PRE", 449)</f>
        <v>7349</v>
      </c>
      <c r="I457" s="38">
        <f>RTD("rtdtrading.rtdserver",, "T&amp;T1", "QUL", 449)</f>
        <v>1</v>
      </c>
      <c r="J457" s="39" t="str">
        <f>RTD("rtdtrading.rtdserver",, "T&amp;T1", "AGR", 449)</f>
        <v>Vendedor</v>
      </c>
    </row>
    <row r="458" spans="1:10" x14ac:dyDescent="0.25">
      <c r="A458" s="44" t="str">
        <f>RTD("rtdtrading.rtdserver",, "T&amp;T0", "DAT", 450)</f>
        <v>19:03:04.410</v>
      </c>
      <c r="B458" s="27">
        <f>RTD("rtdtrading.rtdserver",, "T&amp;T0", "PRE", 450)</f>
        <v>7347.25</v>
      </c>
      <c r="C458" s="28">
        <f>RTD("rtdtrading.rtdserver",, "T&amp;T0", "QUL", 450)</f>
        <v>3</v>
      </c>
      <c r="D458" s="28" t="str">
        <f>RTD("rtdtrading.rtdserver",, "T&amp;T0", "AGR", 450)</f>
        <v>Comprador</v>
      </c>
      <c r="G458" s="36" t="str">
        <f>RTD("rtdtrading.rtdserver",, "T&amp;T1", "DAT", 450)</f>
        <v>19:03:36.714</v>
      </c>
      <c r="H458" s="37">
        <f>RTD("rtdtrading.rtdserver",, "T&amp;T1", "PRE", 450)</f>
        <v>7349.25</v>
      </c>
      <c r="I458" s="38">
        <f>RTD("rtdtrading.rtdserver",, "T&amp;T1", "QUL", 450)</f>
        <v>1</v>
      </c>
      <c r="J458" s="39" t="str">
        <f>RTD("rtdtrading.rtdserver",, "T&amp;T1", "AGR", 450)</f>
        <v>Vendedor</v>
      </c>
    </row>
    <row r="459" spans="1:10" x14ac:dyDescent="0.25">
      <c r="A459" s="44" t="str">
        <f>RTD("rtdtrading.rtdserver",, "T&amp;T0", "DAT", 451)</f>
        <v>19:03:03.814</v>
      </c>
      <c r="B459" s="27">
        <f>RTD("rtdtrading.rtdserver",, "T&amp;T0", "PRE", 451)</f>
        <v>7347.25</v>
      </c>
      <c r="C459" s="28">
        <f>RTD("rtdtrading.rtdserver",, "T&amp;T0", "QUL", 451)</f>
        <v>1</v>
      </c>
      <c r="D459" s="28" t="str">
        <f>RTD("rtdtrading.rtdserver",, "T&amp;T0", "AGR", 451)</f>
        <v>Comprador</v>
      </c>
      <c r="G459" s="36" t="str">
        <f>RTD("rtdtrading.rtdserver",, "T&amp;T1", "DAT", 451)</f>
        <v>19:03:35.876</v>
      </c>
      <c r="H459" s="37">
        <f>RTD("rtdtrading.rtdserver",, "T&amp;T1", "PRE", 451)</f>
        <v>7349.25</v>
      </c>
      <c r="I459" s="38">
        <f>RTD("rtdtrading.rtdserver",, "T&amp;T1", "QUL", 451)</f>
        <v>6</v>
      </c>
      <c r="J459" s="39" t="str">
        <f>RTD("rtdtrading.rtdserver",, "T&amp;T1", "AGR", 451)</f>
        <v>Vendedor</v>
      </c>
    </row>
    <row r="460" spans="1:10" x14ac:dyDescent="0.25">
      <c r="A460" s="44" t="str">
        <f>RTD("rtdtrading.rtdserver",, "T&amp;T0", "DAT", 452)</f>
        <v>19:03:03.643</v>
      </c>
      <c r="B460" s="27">
        <f>RTD("rtdtrading.rtdserver",, "T&amp;T0", "PRE", 452)</f>
        <v>7347.25</v>
      </c>
      <c r="C460" s="28">
        <f>RTD("rtdtrading.rtdserver",, "T&amp;T0", "QUL", 452)</f>
        <v>4</v>
      </c>
      <c r="D460" s="28" t="str">
        <f>RTD("rtdtrading.rtdserver",, "T&amp;T0", "AGR", 452)</f>
        <v>Comprador</v>
      </c>
      <c r="G460" s="36" t="str">
        <f>RTD("rtdtrading.rtdserver",, "T&amp;T1", "DAT", 452)</f>
        <v>19:03:35.810</v>
      </c>
      <c r="H460" s="37">
        <f>RTD("rtdtrading.rtdserver",, "T&amp;T1", "PRE", 452)</f>
        <v>7349.5</v>
      </c>
      <c r="I460" s="38">
        <f>RTD("rtdtrading.rtdserver",, "T&amp;T1", "QUL", 452)</f>
        <v>3</v>
      </c>
      <c r="J460" s="39" t="str">
        <f>RTD("rtdtrading.rtdserver",, "T&amp;T1", "AGR", 452)</f>
        <v>Vendedor</v>
      </c>
    </row>
    <row r="461" spans="1:10" x14ac:dyDescent="0.25">
      <c r="A461" s="44" t="str">
        <f>RTD("rtdtrading.rtdserver",, "T&amp;T0", "DAT", 453)</f>
        <v>19:03:03.642</v>
      </c>
      <c r="B461" s="27">
        <f>RTD("rtdtrading.rtdserver",, "T&amp;T0", "PRE", 453)</f>
        <v>7347</v>
      </c>
      <c r="C461" s="28">
        <f>RTD("rtdtrading.rtdserver",, "T&amp;T0", "QUL", 453)</f>
        <v>14</v>
      </c>
      <c r="D461" s="28" t="str">
        <f>RTD("rtdtrading.rtdserver",, "T&amp;T0", "AGR", 453)</f>
        <v>Comprador</v>
      </c>
      <c r="G461" s="36" t="str">
        <f>RTD("rtdtrading.rtdserver",, "T&amp;T1", "DAT", 453)</f>
        <v>19:03:35.778</v>
      </c>
      <c r="H461" s="37">
        <f>RTD("rtdtrading.rtdserver",, "T&amp;T1", "PRE", 453)</f>
        <v>7349.5</v>
      </c>
      <c r="I461" s="38">
        <f>RTD("rtdtrading.rtdserver",, "T&amp;T1", "QUL", 453)</f>
        <v>1</v>
      </c>
      <c r="J461" s="39" t="str">
        <f>RTD("rtdtrading.rtdserver",, "T&amp;T1", "AGR", 453)</f>
        <v>Vendedor</v>
      </c>
    </row>
    <row r="462" spans="1:10" x14ac:dyDescent="0.25">
      <c r="A462" s="44" t="str">
        <f>RTD("rtdtrading.rtdserver",, "T&amp;T0", "DAT", 454)</f>
        <v>19:03:03.539</v>
      </c>
      <c r="B462" s="27">
        <f>RTD("rtdtrading.rtdserver",, "T&amp;T0", "PRE", 454)</f>
        <v>7347</v>
      </c>
      <c r="C462" s="28">
        <f>RTD("rtdtrading.rtdserver",, "T&amp;T0", "QUL", 454)</f>
        <v>1</v>
      </c>
      <c r="D462" s="28" t="str">
        <f>RTD("rtdtrading.rtdserver",, "T&amp;T0", "AGR", 454)</f>
        <v>Comprador</v>
      </c>
      <c r="G462" s="36" t="str">
        <f>RTD("rtdtrading.rtdserver",, "T&amp;T1", "DAT", 454)</f>
        <v>19:03:35.605</v>
      </c>
      <c r="H462" s="37">
        <f>RTD("rtdtrading.rtdserver",, "T&amp;T1", "PRE", 454)</f>
        <v>7349.5</v>
      </c>
      <c r="I462" s="38">
        <f>RTD("rtdtrading.rtdserver",, "T&amp;T1", "QUL", 454)</f>
        <v>1</v>
      </c>
      <c r="J462" s="39" t="str">
        <f>RTD("rtdtrading.rtdserver",, "T&amp;T1", "AGR", 454)</f>
        <v>Vendedor</v>
      </c>
    </row>
    <row r="463" spans="1:10" x14ac:dyDescent="0.25">
      <c r="A463" s="44" t="str">
        <f>RTD("rtdtrading.rtdserver",, "T&amp;T0", "DAT", 455)</f>
        <v>19:03:03.328</v>
      </c>
      <c r="B463" s="27">
        <f>RTD("rtdtrading.rtdserver",, "T&amp;T0", "PRE", 455)</f>
        <v>7347</v>
      </c>
      <c r="C463" s="28">
        <f>RTD("rtdtrading.rtdserver",, "T&amp;T0", "QUL", 455)</f>
        <v>1</v>
      </c>
      <c r="D463" s="28" t="str">
        <f>RTD("rtdtrading.rtdserver",, "T&amp;T0", "AGR", 455)</f>
        <v>Comprador</v>
      </c>
      <c r="G463" s="36" t="str">
        <f>RTD("rtdtrading.rtdserver",, "T&amp;T1", "DAT", 455)</f>
        <v>19:03:34.555</v>
      </c>
      <c r="H463" s="37">
        <f>RTD("rtdtrading.rtdserver",, "T&amp;T1", "PRE", 455)</f>
        <v>7349.75</v>
      </c>
      <c r="I463" s="38">
        <f>RTD("rtdtrading.rtdserver",, "T&amp;T1", "QUL", 455)</f>
        <v>4</v>
      </c>
      <c r="J463" s="39" t="str">
        <f>RTD("rtdtrading.rtdserver",, "T&amp;T1", "AGR", 455)</f>
        <v>Vendedor</v>
      </c>
    </row>
    <row r="464" spans="1:10" x14ac:dyDescent="0.25">
      <c r="A464" s="44" t="str">
        <f>RTD("rtdtrading.rtdserver",, "T&amp;T0", "DAT", 456)</f>
        <v>19:03:02.749</v>
      </c>
      <c r="B464" s="27">
        <f>RTD("rtdtrading.rtdserver",, "T&amp;T0", "PRE", 456)</f>
        <v>7346.75</v>
      </c>
      <c r="C464" s="28">
        <f>RTD("rtdtrading.rtdserver",, "T&amp;T0", "QUL", 456)</f>
        <v>1</v>
      </c>
      <c r="D464" s="28" t="str">
        <f>RTD("rtdtrading.rtdserver",, "T&amp;T0", "AGR", 456)</f>
        <v>Comprador</v>
      </c>
      <c r="G464" s="36" t="str">
        <f>RTD("rtdtrading.rtdserver",, "T&amp;T1", "DAT", 456)</f>
        <v>19:03:33.790</v>
      </c>
      <c r="H464" s="37">
        <f>RTD("rtdtrading.rtdserver",, "T&amp;T1", "PRE", 456)</f>
        <v>7349.75</v>
      </c>
      <c r="I464" s="38">
        <f>RTD("rtdtrading.rtdserver",, "T&amp;T1", "QUL", 456)</f>
        <v>1</v>
      </c>
      <c r="J464" s="39" t="str">
        <f>RTD("rtdtrading.rtdserver",, "T&amp;T1", "AGR", 456)</f>
        <v>Vendedor</v>
      </c>
    </row>
    <row r="465" spans="1:10" x14ac:dyDescent="0.25">
      <c r="A465" s="44" t="str">
        <f>RTD("rtdtrading.rtdserver",, "T&amp;T0", "DAT", 457)</f>
        <v>19:03:02.184</v>
      </c>
      <c r="B465" s="27">
        <f>RTD("rtdtrading.rtdserver",, "T&amp;T0", "PRE", 457)</f>
        <v>7346.75</v>
      </c>
      <c r="C465" s="28">
        <f>RTD("rtdtrading.rtdserver",, "T&amp;T0", "QUL", 457)</f>
        <v>1</v>
      </c>
      <c r="D465" s="28" t="str">
        <f>RTD("rtdtrading.rtdserver",, "T&amp;T0", "AGR", 457)</f>
        <v>Comprador</v>
      </c>
      <c r="G465" s="36" t="str">
        <f>RTD("rtdtrading.rtdserver",, "T&amp;T1", "DAT", 457)</f>
        <v>19:03:32.854</v>
      </c>
      <c r="H465" s="37">
        <f>RTD("rtdtrading.rtdserver",, "T&amp;T1", "PRE", 457)</f>
        <v>7349.75</v>
      </c>
      <c r="I465" s="38">
        <f>RTD("rtdtrading.rtdserver",, "T&amp;T1", "QUL", 457)</f>
        <v>1</v>
      </c>
      <c r="J465" s="39" t="str">
        <f>RTD("rtdtrading.rtdserver",, "T&amp;T1", "AGR", 457)</f>
        <v>Vendedor</v>
      </c>
    </row>
    <row r="466" spans="1:10" x14ac:dyDescent="0.25">
      <c r="A466" s="44" t="str">
        <f>RTD("rtdtrading.rtdserver",, "T&amp;T0", "DAT", 458)</f>
        <v>19:03:02.181</v>
      </c>
      <c r="B466" s="27">
        <f>RTD("rtdtrading.rtdserver",, "T&amp;T0", "PRE", 458)</f>
        <v>7346.75</v>
      </c>
      <c r="C466" s="28">
        <f>RTD("rtdtrading.rtdserver",, "T&amp;T0", "QUL", 458)</f>
        <v>3</v>
      </c>
      <c r="D466" s="28" t="str">
        <f>RTD("rtdtrading.rtdserver",, "T&amp;T0", "AGR", 458)</f>
        <v>Comprador</v>
      </c>
      <c r="G466" s="36" t="str">
        <f>RTD("rtdtrading.rtdserver",, "T&amp;T1", "DAT", 458)</f>
        <v>19:03:32.099</v>
      </c>
      <c r="H466" s="37">
        <f>RTD("rtdtrading.rtdserver",, "T&amp;T1", "PRE", 458)</f>
        <v>7349.75</v>
      </c>
      <c r="I466" s="38">
        <f>RTD("rtdtrading.rtdserver",, "T&amp;T1", "QUL", 458)</f>
        <v>1</v>
      </c>
      <c r="J466" s="39" t="str">
        <f>RTD("rtdtrading.rtdserver",, "T&amp;T1", "AGR", 458)</f>
        <v>Vendedor</v>
      </c>
    </row>
    <row r="467" spans="1:10" x14ac:dyDescent="0.25">
      <c r="A467" s="44" t="str">
        <f>RTD("rtdtrading.rtdserver",, "T&amp;T0", "DAT", 459)</f>
        <v>19:03:01.046</v>
      </c>
      <c r="B467" s="27">
        <f>RTD("rtdtrading.rtdserver",, "T&amp;T0", "PRE", 459)</f>
        <v>7346.5</v>
      </c>
      <c r="C467" s="28">
        <f>RTD("rtdtrading.rtdserver",, "T&amp;T0", "QUL", 459)</f>
        <v>1</v>
      </c>
      <c r="D467" s="28" t="str">
        <f>RTD("rtdtrading.rtdserver",, "T&amp;T0", "AGR", 459)</f>
        <v>Comprador</v>
      </c>
      <c r="G467" s="36" t="str">
        <f>RTD("rtdtrading.rtdserver",, "T&amp;T1", "DAT", 459)</f>
        <v>19:03:31.912</v>
      </c>
      <c r="H467" s="37">
        <f>RTD("rtdtrading.rtdserver",, "T&amp;T1", "PRE", 459)</f>
        <v>7349.75</v>
      </c>
      <c r="I467" s="38">
        <f>RTD("rtdtrading.rtdserver",, "T&amp;T1", "QUL", 459)</f>
        <v>1</v>
      </c>
      <c r="J467" s="39" t="str">
        <f>RTD("rtdtrading.rtdserver",, "T&amp;T1", "AGR", 459)</f>
        <v>Vendedor</v>
      </c>
    </row>
    <row r="468" spans="1:10" x14ac:dyDescent="0.25">
      <c r="A468" s="44" t="str">
        <f>RTD("rtdtrading.rtdserver",, "T&amp;T0", "DAT", 460)</f>
        <v>19:03:01.046</v>
      </c>
      <c r="B468" s="27">
        <f>RTD("rtdtrading.rtdserver",, "T&amp;T0", "PRE", 460)</f>
        <v>7346.75</v>
      </c>
      <c r="C468" s="28">
        <f>RTD("rtdtrading.rtdserver",, "T&amp;T0", "QUL", 460)</f>
        <v>2</v>
      </c>
      <c r="D468" s="28" t="str">
        <f>RTD("rtdtrading.rtdserver",, "T&amp;T0", "AGR", 460)</f>
        <v>Comprador</v>
      </c>
      <c r="G468" s="36" t="str">
        <f>RTD("rtdtrading.rtdserver",, "T&amp;T1", "DAT", 460)</f>
        <v>19:03:31.912</v>
      </c>
      <c r="H468" s="37">
        <f>RTD("rtdtrading.rtdserver",, "T&amp;T1", "PRE", 460)</f>
        <v>7349.75</v>
      </c>
      <c r="I468" s="38">
        <f>RTD("rtdtrading.rtdserver",, "T&amp;T1", "QUL", 460)</f>
        <v>2</v>
      </c>
      <c r="J468" s="39" t="str">
        <f>RTD("rtdtrading.rtdserver",, "T&amp;T1", "AGR", 460)</f>
        <v>Vendedor</v>
      </c>
    </row>
    <row r="469" spans="1:10" x14ac:dyDescent="0.25">
      <c r="A469" s="44" t="str">
        <f>RTD("rtdtrading.rtdserver",, "T&amp;T0", "DAT", 461)</f>
        <v>19:03:01.046</v>
      </c>
      <c r="B469" s="27">
        <f>RTD("rtdtrading.rtdserver",, "T&amp;T0", "PRE", 461)</f>
        <v>7346.5</v>
      </c>
      <c r="C469" s="28">
        <f>RTD("rtdtrading.rtdserver",, "T&amp;T0", "QUL", 461)</f>
        <v>3</v>
      </c>
      <c r="D469" s="28" t="str">
        <f>RTD("rtdtrading.rtdserver",, "T&amp;T0", "AGR", 461)</f>
        <v>Comprador</v>
      </c>
      <c r="G469" s="36" t="str">
        <f>RTD("rtdtrading.rtdserver",, "T&amp;T1", "DAT", 461)</f>
        <v>19:03:31.911</v>
      </c>
      <c r="H469" s="37">
        <f>RTD("rtdtrading.rtdserver",, "T&amp;T1", "PRE", 461)</f>
        <v>7349.75</v>
      </c>
      <c r="I469" s="38">
        <f>RTD("rtdtrading.rtdserver",, "T&amp;T1", "QUL", 461)</f>
        <v>3</v>
      </c>
      <c r="J469" s="39" t="str">
        <f>RTD("rtdtrading.rtdserver",, "T&amp;T1", "AGR", 461)</f>
        <v>Vendedor</v>
      </c>
    </row>
    <row r="470" spans="1:10" x14ac:dyDescent="0.25">
      <c r="A470" s="44" t="str">
        <f>RTD("rtdtrading.rtdserver",, "T&amp;T0", "DAT", 462)</f>
        <v>19:02:57.413</v>
      </c>
      <c r="B470" s="27">
        <f>RTD("rtdtrading.rtdserver",, "T&amp;T0", "PRE", 462)</f>
        <v>7347.25</v>
      </c>
      <c r="C470" s="28">
        <f>RTD("rtdtrading.rtdserver",, "T&amp;T0", "QUL", 462)</f>
        <v>1</v>
      </c>
      <c r="D470" s="28" t="str">
        <f>RTD("rtdtrading.rtdserver",, "T&amp;T0", "AGR", 462)</f>
        <v>Comprador</v>
      </c>
      <c r="G470" s="36" t="str">
        <f>RTD("rtdtrading.rtdserver",, "T&amp;T1", "DAT", 462)</f>
        <v>19:03:31.911</v>
      </c>
      <c r="H470" s="37">
        <f>RTD("rtdtrading.rtdserver",, "T&amp;T1", "PRE", 462)</f>
        <v>7350</v>
      </c>
      <c r="I470" s="38">
        <f>RTD("rtdtrading.rtdserver",, "T&amp;T1", "QUL", 462)</f>
        <v>4</v>
      </c>
      <c r="J470" s="39" t="str">
        <f>RTD("rtdtrading.rtdserver",, "T&amp;T1", "AGR", 462)</f>
        <v>Vendedor</v>
      </c>
    </row>
    <row r="471" spans="1:10" x14ac:dyDescent="0.25">
      <c r="A471" s="44" t="str">
        <f>RTD("rtdtrading.rtdserver",, "T&amp;T0", "DAT", 463)</f>
        <v>19:02:57.027</v>
      </c>
      <c r="B471" s="27">
        <f>RTD("rtdtrading.rtdserver",, "T&amp;T0", "PRE", 463)</f>
        <v>7347.25</v>
      </c>
      <c r="C471" s="28">
        <f>RTD("rtdtrading.rtdserver",, "T&amp;T0", "QUL", 463)</f>
        <v>1</v>
      </c>
      <c r="D471" s="28" t="str">
        <f>RTD("rtdtrading.rtdserver",, "T&amp;T0", "AGR", 463)</f>
        <v>Comprador</v>
      </c>
      <c r="G471" s="36" t="str">
        <f>RTD("rtdtrading.rtdserver",, "T&amp;T1", "DAT", 463)</f>
        <v>19:03:30.869</v>
      </c>
      <c r="H471" s="37">
        <f>RTD("rtdtrading.rtdserver",, "T&amp;T1", "PRE", 463)</f>
        <v>7350.25</v>
      </c>
      <c r="I471" s="38">
        <f>RTD("rtdtrading.rtdserver",, "T&amp;T1", "QUL", 463)</f>
        <v>3</v>
      </c>
      <c r="J471" s="39" t="str">
        <f>RTD("rtdtrading.rtdserver",, "T&amp;T1", "AGR", 463)</f>
        <v>Vendedor</v>
      </c>
    </row>
    <row r="472" spans="1:10" x14ac:dyDescent="0.25">
      <c r="A472" s="44" t="str">
        <f>RTD("rtdtrading.rtdserver",, "T&amp;T0", "DAT", 464)</f>
        <v>19:02:53.492</v>
      </c>
      <c r="B472" s="27">
        <f>RTD("rtdtrading.rtdserver",, "T&amp;T0", "PRE", 464)</f>
        <v>7347.5</v>
      </c>
      <c r="C472" s="28">
        <f>RTD("rtdtrading.rtdserver",, "T&amp;T0", "QUL", 464)</f>
        <v>1</v>
      </c>
      <c r="D472" s="28" t="str">
        <f>RTD("rtdtrading.rtdserver",, "T&amp;T0", "AGR", 464)</f>
        <v>Comprador</v>
      </c>
      <c r="G472" s="36" t="str">
        <f>RTD("rtdtrading.rtdserver",, "T&amp;T1", "DAT", 464)</f>
        <v>19:03:30.869</v>
      </c>
      <c r="H472" s="37">
        <f>RTD("rtdtrading.rtdserver",, "T&amp;T1", "PRE", 464)</f>
        <v>7350.25</v>
      </c>
      <c r="I472" s="38">
        <f>RTD("rtdtrading.rtdserver",, "T&amp;T1", "QUL", 464)</f>
        <v>4</v>
      </c>
      <c r="J472" s="39" t="str">
        <f>RTD("rtdtrading.rtdserver",, "T&amp;T1", "AGR", 464)</f>
        <v>Vendedor</v>
      </c>
    </row>
    <row r="473" spans="1:10" x14ac:dyDescent="0.25">
      <c r="A473" s="44" t="str">
        <f>RTD("rtdtrading.rtdserver",, "T&amp;T0", "DAT", 465)</f>
        <v>19:02:51.964</v>
      </c>
      <c r="B473" s="27">
        <f>RTD("rtdtrading.rtdserver",, "T&amp;T0", "PRE", 465)</f>
        <v>7347.5</v>
      </c>
      <c r="C473" s="28">
        <f>RTD("rtdtrading.rtdserver",, "T&amp;T0", "QUL", 465)</f>
        <v>1</v>
      </c>
      <c r="D473" s="28" t="str">
        <f>RTD("rtdtrading.rtdserver",, "T&amp;T0", "AGR", 465)</f>
        <v>Comprador</v>
      </c>
      <c r="G473" s="36" t="str">
        <f>RTD("rtdtrading.rtdserver",, "T&amp;T1", "DAT", 465)</f>
        <v>19:03:28.109</v>
      </c>
      <c r="H473" s="37">
        <f>RTD("rtdtrading.rtdserver",, "T&amp;T1", "PRE", 465)</f>
        <v>7349.75</v>
      </c>
      <c r="I473" s="38">
        <f>RTD("rtdtrading.rtdserver",, "T&amp;T1", "QUL", 465)</f>
        <v>1</v>
      </c>
      <c r="J473" s="39" t="str">
        <f>RTD("rtdtrading.rtdserver",, "T&amp;T1", "AGR", 465)</f>
        <v>Vendedor</v>
      </c>
    </row>
    <row r="474" spans="1:10" x14ac:dyDescent="0.25">
      <c r="A474" s="44" t="str">
        <f>RTD("rtdtrading.rtdserver",, "T&amp;T0", "DAT", 466)</f>
        <v>19:02:51.964</v>
      </c>
      <c r="B474" s="27">
        <f>RTD("rtdtrading.rtdserver",, "T&amp;T0", "PRE", 466)</f>
        <v>7347.5</v>
      </c>
      <c r="C474" s="28">
        <f>RTD("rtdtrading.rtdserver",, "T&amp;T0", "QUL", 466)</f>
        <v>1</v>
      </c>
      <c r="D474" s="28" t="str">
        <f>RTD("rtdtrading.rtdserver",, "T&amp;T0", "AGR", 466)</f>
        <v>Comprador</v>
      </c>
      <c r="G474" s="36" t="str">
        <f>RTD("rtdtrading.rtdserver",, "T&amp;T1", "DAT", 466)</f>
        <v>19:03:28.109</v>
      </c>
      <c r="H474" s="37">
        <f>RTD("rtdtrading.rtdserver",, "T&amp;T1", "PRE", 466)</f>
        <v>7349.75</v>
      </c>
      <c r="I474" s="38">
        <f>RTD("rtdtrading.rtdserver",, "T&amp;T1", "QUL", 466)</f>
        <v>9</v>
      </c>
      <c r="J474" s="39" t="str">
        <f>RTD("rtdtrading.rtdserver",, "T&amp;T1", "AGR", 466)</f>
        <v>Vendedor</v>
      </c>
    </row>
    <row r="475" spans="1:10" x14ac:dyDescent="0.25">
      <c r="A475" s="44" t="str">
        <f>RTD("rtdtrading.rtdserver",, "T&amp;T0", "DAT", 467)</f>
        <v>19:02:49.588</v>
      </c>
      <c r="B475" s="27">
        <f>RTD("rtdtrading.rtdserver",, "T&amp;T0", "PRE", 467)</f>
        <v>7347.5</v>
      </c>
      <c r="C475" s="28">
        <f>RTD("rtdtrading.rtdserver",, "T&amp;T0", "QUL", 467)</f>
        <v>1</v>
      </c>
      <c r="D475" s="28" t="str">
        <f>RTD("rtdtrading.rtdserver",, "T&amp;T0", "AGR", 467)</f>
        <v>Comprador</v>
      </c>
      <c r="G475" s="36" t="str">
        <f>RTD("rtdtrading.rtdserver",, "T&amp;T1", "DAT", 467)</f>
        <v>19:03:28.108</v>
      </c>
      <c r="H475" s="37">
        <f>RTD("rtdtrading.rtdserver",, "T&amp;T1", "PRE", 467)</f>
        <v>7349.75</v>
      </c>
      <c r="I475" s="38">
        <f>RTD("rtdtrading.rtdserver",, "T&amp;T1", "QUL", 467)</f>
        <v>1</v>
      </c>
      <c r="J475" s="39" t="str">
        <f>RTD("rtdtrading.rtdserver",, "T&amp;T1", "AGR", 467)</f>
        <v>Vendedor</v>
      </c>
    </row>
    <row r="476" spans="1:10" x14ac:dyDescent="0.25">
      <c r="A476" s="44" t="str">
        <f>RTD("rtdtrading.rtdserver",, "T&amp;T0", "DAT", 468)</f>
        <v>19:02:49.185</v>
      </c>
      <c r="B476" s="27">
        <f>RTD("rtdtrading.rtdserver",, "T&amp;T0", "PRE", 468)</f>
        <v>7348</v>
      </c>
      <c r="C476" s="28">
        <f>RTD("rtdtrading.rtdserver",, "T&amp;T0", "QUL", 468)</f>
        <v>1</v>
      </c>
      <c r="D476" s="28" t="str">
        <f>RTD("rtdtrading.rtdserver",, "T&amp;T0", "AGR", 468)</f>
        <v>Comprador</v>
      </c>
      <c r="G476" s="36" t="str">
        <f>RTD("rtdtrading.rtdserver",, "T&amp;T1", "DAT", 468)</f>
        <v>19:03:28.108</v>
      </c>
      <c r="H476" s="37">
        <f>RTD("rtdtrading.rtdserver",, "T&amp;T1", "PRE", 468)</f>
        <v>7349.75</v>
      </c>
      <c r="I476" s="38">
        <f>RTD("rtdtrading.rtdserver",, "T&amp;T1", "QUL", 468)</f>
        <v>2</v>
      </c>
      <c r="J476" s="39" t="str">
        <f>RTD("rtdtrading.rtdserver",, "T&amp;T1", "AGR", 468)</f>
        <v>Vendedor</v>
      </c>
    </row>
    <row r="477" spans="1:10" x14ac:dyDescent="0.25">
      <c r="A477" s="44" t="str">
        <f>RTD("rtdtrading.rtdserver",, "T&amp;T0", "DAT", 469)</f>
        <v>19:02:48.264</v>
      </c>
      <c r="B477" s="27">
        <f>RTD("rtdtrading.rtdserver",, "T&amp;T0", "PRE", 469)</f>
        <v>7347.75</v>
      </c>
      <c r="C477" s="28">
        <f>RTD("rtdtrading.rtdserver",, "T&amp;T0", "QUL", 469)</f>
        <v>2</v>
      </c>
      <c r="D477" s="28" t="str">
        <f>RTD("rtdtrading.rtdserver",, "T&amp;T0", "AGR", 469)</f>
        <v>Comprador</v>
      </c>
      <c r="G477" s="36" t="str">
        <f>RTD("rtdtrading.rtdserver",, "T&amp;T1", "DAT", 469)</f>
        <v>19:03:26.962</v>
      </c>
      <c r="H477" s="37">
        <f>RTD("rtdtrading.rtdserver",, "T&amp;T1", "PRE", 469)</f>
        <v>7349.75</v>
      </c>
      <c r="I477" s="38">
        <f>RTD("rtdtrading.rtdserver",, "T&amp;T1", "QUL", 469)</f>
        <v>1</v>
      </c>
      <c r="J477" s="39" t="str">
        <f>RTD("rtdtrading.rtdserver",, "T&amp;T1", "AGR", 469)</f>
        <v>Vendedor</v>
      </c>
    </row>
    <row r="478" spans="1:10" x14ac:dyDescent="0.25">
      <c r="A478" s="44" t="str">
        <f>RTD("rtdtrading.rtdserver",, "T&amp;T0", "DAT", 470)</f>
        <v>19:02:47.810</v>
      </c>
      <c r="B478" s="27">
        <f>RTD("rtdtrading.rtdserver",, "T&amp;T0", "PRE", 470)</f>
        <v>7347.5</v>
      </c>
      <c r="C478" s="28">
        <f>RTD("rtdtrading.rtdserver",, "T&amp;T0", "QUL", 470)</f>
        <v>5</v>
      </c>
      <c r="D478" s="28" t="str">
        <f>RTD("rtdtrading.rtdserver",, "T&amp;T0", "AGR", 470)</f>
        <v>Comprador</v>
      </c>
      <c r="G478" s="36" t="str">
        <f>RTD("rtdtrading.rtdserver",, "T&amp;T1", "DAT", 470)</f>
        <v>19:03:26.901</v>
      </c>
      <c r="H478" s="37">
        <f>RTD("rtdtrading.rtdserver",, "T&amp;T1", "PRE", 470)</f>
        <v>7349.5</v>
      </c>
      <c r="I478" s="38">
        <f>RTD("rtdtrading.rtdserver",, "T&amp;T1", "QUL", 470)</f>
        <v>1</v>
      </c>
      <c r="J478" s="39" t="str">
        <f>RTD("rtdtrading.rtdserver",, "T&amp;T1", "AGR", 470)</f>
        <v>Vendedor</v>
      </c>
    </row>
    <row r="479" spans="1:10" x14ac:dyDescent="0.25">
      <c r="A479" s="44" t="str">
        <f>RTD("rtdtrading.rtdserver",, "T&amp;T0", "DAT", 471)</f>
        <v>19:02:47.779</v>
      </c>
      <c r="B479" s="27">
        <f>RTD("rtdtrading.rtdserver",, "T&amp;T0", "PRE", 471)</f>
        <v>7347.25</v>
      </c>
      <c r="C479" s="28">
        <f>RTD("rtdtrading.rtdserver",, "T&amp;T0", "QUL", 471)</f>
        <v>1</v>
      </c>
      <c r="D479" s="28" t="str">
        <f>RTD("rtdtrading.rtdserver",, "T&amp;T0", "AGR", 471)</f>
        <v>Comprador</v>
      </c>
      <c r="G479" s="36" t="str">
        <f>RTD("rtdtrading.rtdserver",, "T&amp;T1", "DAT", 471)</f>
        <v>19:03:25.801</v>
      </c>
      <c r="H479" s="37">
        <f>RTD("rtdtrading.rtdserver",, "T&amp;T1", "PRE", 471)</f>
        <v>7349.5</v>
      </c>
      <c r="I479" s="38">
        <f>RTD("rtdtrading.rtdserver",, "T&amp;T1", "QUL", 471)</f>
        <v>1</v>
      </c>
      <c r="J479" s="39" t="str">
        <f>RTD("rtdtrading.rtdserver",, "T&amp;T1", "AGR", 471)</f>
        <v>Vendedor</v>
      </c>
    </row>
    <row r="480" spans="1:10" x14ac:dyDescent="0.25">
      <c r="A480" s="44" t="str">
        <f>RTD("rtdtrading.rtdserver",, "T&amp;T0", "DAT", 472)</f>
        <v>19:02:47.778</v>
      </c>
      <c r="B480" s="27">
        <f>RTD("rtdtrading.rtdserver",, "T&amp;T0", "PRE", 472)</f>
        <v>7347.25</v>
      </c>
      <c r="C480" s="28">
        <f>RTD("rtdtrading.rtdserver",, "T&amp;T0", "QUL", 472)</f>
        <v>2</v>
      </c>
      <c r="D480" s="28" t="str">
        <f>RTD("rtdtrading.rtdserver",, "T&amp;T0", "AGR", 472)</f>
        <v>Comprador</v>
      </c>
      <c r="G480" s="36" t="str">
        <f>RTD("rtdtrading.rtdserver",, "T&amp;T1", "DAT", 472)</f>
        <v>19:03:24.982</v>
      </c>
      <c r="H480" s="37">
        <f>RTD("rtdtrading.rtdserver",, "T&amp;T1", "PRE", 472)</f>
        <v>7349.5</v>
      </c>
      <c r="I480" s="38">
        <f>RTD("rtdtrading.rtdserver",, "T&amp;T1", "QUL", 472)</f>
        <v>1</v>
      </c>
      <c r="J480" s="39" t="str">
        <f>RTD("rtdtrading.rtdserver",, "T&amp;T1", "AGR", 472)</f>
        <v>Vendedor</v>
      </c>
    </row>
    <row r="481" spans="1:10" x14ac:dyDescent="0.25">
      <c r="A481" s="44" t="str">
        <f>RTD("rtdtrading.rtdserver",, "T&amp;T0", "DAT", 473)</f>
        <v>19:02:47.390</v>
      </c>
      <c r="B481" s="27">
        <f>RTD("rtdtrading.rtdserver",, "T&amp;T0", "PRE", 473)</f>
        <v>7347</v>
      </c>
      <c r="C481" s="28">
        <f>RTD("rtdtrading.rtdserver",, "T&amp;T0", "QUL", 473)</f>
        <v>1</v>
      </c>
      <c r="D481" s="28" t="str">
        <f>RTD("rtdtrading.rtdserver",, "T&amp;T0", "AGR", 473)</f>
        <v>Comprador</v>
      </c>
      <c r="G481" s="36" t="str">
        <f>RTD("rtdtrading.rtdserver",, "T&amp;T1", "DAT", 473)</f>
        <v>19:03:24.918</v>
      </c>
      <c r="H481" s="37">
        <f>RTD("rtdtrading.rtdserver",, "T&amp;T1", "PRE", 473)</f>
        <v>7349.5</v>
      </c>
      <c r="I481" s="38">
        <f>RTD("rtdtrading.rtdserver",, "T&amp;T1", "QUL", 473)</f>
        <v>1</v>
      </c>
      <c r="J481" s="39" t="str">
        <f>RTD("rtdtrading.rtdserver",, "T&amp;T1", "AGR", 473)</f>
        <v>Vendedor</v>
      </c>
    </row>
    <row r="482" spans="1:10" x14ac:dyDescent="0.25">
      <c r="A482" s="44" t="str">
        <f>RTD("rtdtrading.rtdserver",, "T&amp;T0", "DAT", 474)</f>
        <v>19:02:47.191</v>
      </c>
      <c r="B482" s="27">
        <f>RTD("rtdtrading.rtdserver",, "T&amp;T0", "PRE", 474)</f>
        <v>7347</v>
      </c>
      <c r="C482" s="28">
        <f>RTD("rtdtrading.rtdserver",, "T&amp;T0", "QUL", 474)</f>
        <v>2</v>
      </c>
      <c r="D482" s="28" t="str">
        <f>RTD("rtdtrading.rtdserver",, "T&amp;T0", "AGR", 474)</f>
        <v>Comprador</v>
      </c>
      <c r="G482" s="36" t="str">
        <f>RTD("rtdtrading.rtdserver",, "T&amp;T1", "DAT", 474)</f>
        <v>19:03:24.259</v>
      </c>
      <c r="H482" s="37">
        <f>RTD("rtdtrading.rtdserver",, "T&amp;T1", "PRE", 474)</f>
        <v>7349.25</v>
      </c>
      <c r="I482" s="38">
        <f>RTD("rtdtrading.rtdserver",, "T&amp;T1", "QUL", 474)</f>
        <v>6</v>
      </c>
      <c r="J482" s="39" t="str">
        <f>RTD("rtdtrading.rtdserver",, "T&amp;T1", "AGR", 474)</f>
        <v>Vendedor</v>
      </c>
    </row>
    <row r="483" spans="1:10" x14ac:dyDescent="0.25">
      <c r="A483" s="44" t="str">
        <f>RTD("rtdtrading.rtdserver",, "T&amp;T0", "DAT", 475)</f>
        <v>19:02:47.042</v>
      </c>
      <c r="B483" s="27">
        <f>RTD("rtdtrading.rtdserver",, "T&amp;T0", "PRE", 475)</f>
        <v>7347.25</v>
      </c>
      <c r="C483" s="28">
        <f>RTD("rtdtrading.rtdserver",, "T&amp;T0", "QUL", 475)</f>
        <v>1</v>
      </c>
      <c r="D483" s="28" t="str">
        <f>RTD("rtdtrading.rtdserver",, "T&amp;T0", "AGR", 475)</f>
        <v>Comprador</v>
      </c>
      <c r="G483" s="36" t="str">
        <f>RTD("rtdtrading.rtdserver",, "T&amp;T1", "DAT", 475)</f>
        <v>19:03:24.259</v>
      </c>
      <c r="H483" s="37">
        <f>RTD("rtdtrading.rtdserver",, "T&amp;T1", "PRE", 475)</f>
        <v>7349.5</v>
      </c>
      <c r="I483" s="38">
        <f>RTD("rtdtrading.rtdserver",, "T&amp;T1", "QUL", 475)</f>
        <v>1</v>
      </c>
      <c r="J483" s="39" t="str">
        <f>RTD("rtdtrading.rtdserver",, "T&amp;T1", "AGR", 475)</f>
        <v>Vendedor</v>
      </c>
    </row>
    <row r="484" spans="1:10" x14ac:dyDescent="0.25">
      <c r="A484" s="44" t="str">
        <f>RTD("rtdtrading.rtdserver",, "T&amp;T0", "DAT", 476)</f>
        <v>19:02:47.042</v>
      </c>
      <c r="B484" s="27">
        <f>RTD("rtdtrading.rtdserver",, "T&amp;T0", "PRE", 476)</f>
        <v>7347.25</v>
      </c>
      <c r="C484" s="28">
        <f>RTD("rtdtrading.rtdserver",, "T&amp;T0", "QUL", 476)</f>
        <v>1</v>
      </c>
      <c r="D484" s="28" t="str">
        <f>RTD("rtdtrading.rtdserver",, "T&amp;T0", "AGR", 476)</f>
        <v>Comprador</v>
      </c>
      <c r="G484" s="36" t="str">
        <f>RTD("rtdtrading.rtdserver",, "T&amp;T1", "DAT", 476)</f>
        <v>19:03:21.949</v>
      </c>
      <c r="H484" s="37">
        <f>RTD("rtdtrading.rtdserver",, "T&amp;T1", "PRE", 476)</f>
        <v>7349.25</v>
      </c>
      <c r="I484" s="38">
        <f>RTD("rtdtrading.rtdserver",, "T&amp;T1", "QUL", 476)</f>
        <v>1</v>
      </c>
      <c r="J484" s="39" t="str">
        <f>RTD("rtdtrading.rtdserver",, "T&amp;T1", "AGR", 476)</f>
        <v>Vendedor</v>
      </c>
    </row>
    <row r="485" spans="1:10" x14ac:dyDescent="0.25">
      <c r="A485" s="44" t="str">
        <f>RTD("rtdtrading.rtdserver",, "T&amp;T0", "DAT", 477)</f>
        <v>19:02:44.209</v>
      </c>
      <c r="B485" s="27">
        <f>RTD("rtdtrading.rtdserver",, "T&amp;T0", "PRE", 477)</f>
        <v>7348</v>
      </c>
      <c r="C485" s="28">
        <f>RTD("rtdtrading.rtdserver",, "T&amp;T0", "QUL", 477)</f>
        <v>1</v>
      </c>
      <c r="D485" s="28" t="str">
        <f>RTD("rtdtrading.rtdserver",, "T&amp;T0", "AGR", 477)</f>
        <v>Comprador</v>
      </c>
      <c r="G485" s="36" t="str">
        <f>RTD("rtdtrading.rtdserver",, "T&amp;T1", "DAT", 477)</f>
        <v>19:03:21.871</v>
      </c>
      <c r="H485" s="37">
        <f>RTD("rtdtrading.rtdserver",, "T&amp;T1", "PRE", 477)</f>
        <v>7349.25</v>
      </c>
      <c r="I485" s="38">
        <f>RTD("rtdtrading.rtdserver",, "T&amp;T1", "QUL", 477)</f>
        <v>1</v>
      </c>
      <c r="J485" s="39" t="str">
        <f>RTD("rtdtrading.rtdserver",, "T&amp;T1", "AGR", 477)</f>
        <v>Vendedor</v>
      </c>
    </row>
    <row r="486" spans="1:10" x14ac:dyDescent="0.25">
      <c r="A486" s="44" t="str">
        <f>RTD("rtdtrading.rtdserver",, "T&amp;T0", "DAT", 478)</f>
        <v>19:02:44.208</v>
      </c>
      <c r="B486" s="27">
        <f>RTD("rtdtrading.rtdserver",, "T&amp;T0", "PRE", 478)</f>
        <v>7348</v>
      </c>
      <c r="C486" s="28">
        <f>RTD("rtdtrading.rtdserver",, "T&amp;T0", "QUL", 478)</f>
        <v>1</v>
      </c>
      <c r="D486" s="28" t="str">
        <f>RTD("rtdtrading.rtdserver",, "T&amp;T0", "AGR", 478)</f>
        <v>Comprador</v>
      </c>
      <c r="G486" s="36" t="str">
        <f>RTD("rtdtrading.rtdserver",, "T&amp;T1", "DAT", 478)</f>
        <v>19:03:21.602</v>
      </c>
      <c r="H486" s="37">
        <f>RTD("rtdtrading.rtdserver",, "T&amp;T1", "PRE", 478)</f>
        <v>7349</v>
      </c>
      <c r="I486" s="38">
        <f>RTD("rtdtrading.rtdserver",, "T&amp;T1", "QUL", 478)</f>
        <v>3</v>
      </c>
      <c r="J486" s="39" t="str">
        <f>RTD("rtdtrading.rtdserver",, "T&amp;T1", "AGR", 478)</f>
        <v>Vendedor</v>
      </c>
    </row>
    <row r="487" spans="1:10" x14ac:dyDescent="0.25">
      <c r="A487" s="44" t="str">
        <f>RTD("rtdtrading.rtdserver",, "T&amp;T0", "DAT", 479)</f>
        <v>19:02:41.212</v>
      </c>
      <c r="B487" s="27">
        <f>RTD("rtdtrading.rtdserver",, "T&amp;T0", "PRE", 479)</f>
        <v>7348.5</v>
      </c>
      <c r="C487" s="28">
        <f>RTD("rtdtrading.rtdserver",, "T&amp;T0", "QUL", 479)</f>
        <v>1</v>
      </c>
      <c r="D487" s="28" t="str">
        <f>RTD("rtdtrading.rtdserver",, "T&amp;T0", "AGR", 479)</f>
        <v>Comprador</v>
      </c>
      <c r="G487" s="36" t="str">
        <f>RTD("rtdtrading.rtdserver",, "T&amp;T1", "DAT", 479)</f>
        <v>19:03:21.602</v>
      </c>
      <c r="H487" s="37">
        <f>RTD("rtdtrading.rtdserver",, "T&amp;T1", "PRE", 479)</f>
        <v>7349.25</v>
      </c>
      <c r="I487" s="38">
        <f>RTD("rtdtrading.rtdserver",, "T&amp;T1", "QUL", 479)</f>
        <v>5</v>
      </c>
      <c r="J487" s="39" t="str">
        <f>RTD("rtdtrading.rtdserver",, "T&amp;T1", "AGR", 479)</f>
        <v>Vendedor</v>
      </c>
    </row>
    <row r="488" spans="1:10" x14ac:dyDescent="0.25">
      <c r="A488" s="44" t="str">
        <f>RTD("rtdtrading.rtdserver",, "T&amp;T0", "DAT", 480)</f>
        <v>19:02:40.309</v>
      </c>
      <c r="B488" s="27">
        <f>RTD("rtdtrading.rtdserver",, "T&amp;T0", "PRE", 480)</f>
        <v>7348.25</v>
      </c>
      <c r="C488" s="28">
        <f>RTD("rtdtrading.rtdserver",, "T&amp;T0", "QUL", 480)</f>
        <v>1</v>
      </c>
      <c r="D488" s="28" t="str">
        <f>RTD("rtdtrading.rtdserver",, "T&amp;T0", "AGR", 480)</f>
        <v>Comprador</v>
      </c>
      <c r="G488" s="36" t="str">
        <f>RTD("rtdtrading.rtdserver",, "T&amp;T1", "DAT", 480)</f>
        <v>19:03:20.182</v>
      </c>
      <c r="H488" s="37">
        <f>RTD("rtdtrading.rtdserver",, "T&amp;T1", "PRE", 480)</f>
        <v>7349.25</v>
      </c>
      <c r="I488" s="38">
        <f>RTD("rtdtrading.rtdserver",, "T&amp;T1", "QUL", 480)</f>
        <v>1</v>
      </c>
      <c r="J488" s="39" t="str">
        <f>RTD("rtdtrading.rtdserver",, "T&amp;T1", "AGR", 480)</f>
        <v>Vendedor</v>
      </c>
    </row>
    <row r="489" spans="1:10" x14ac:dyDescent="0.25">
      <c r="A489" s="44" t="str">
        <f>RTD("rtdtrading.rtdserver",, "T&amp;T0", "DAT", 481)</f>
        <v>19:02:40.226</v>
      </c>
      <c r="B489" s="27">
        <f>RTD("rtdtrading.rtdserver",, "T&amp;T0", "PRE", 481)</f>
        <v>7348.5</v>
      </c>
      <c r="C489" s="28">
        <f>RTD("rtdtrading.rtdserver",, "T&amp;T0", "QUL", 481)</f>
        <v>2</v>
      </c>
      <c r="D489" s="28" t="str">
        <f>RTD("rtdtrading.rtdserver",, "T&amp;T0", "AGR", 481)</f>
        <v>Comprador</v>
      </c>
      <c r="G489" s="36" t="str">
        <f>RTD("rtdtrading.rtdserver",, "T&amp;T1", "DAT", 481)</f>
        <v>19:03:19.998</v>
      </c>
      <c r="H489" s="37">
        <f>RTD("rtdtrading.rtdserver",, "T&amp;T1", "PRE", 481)</f>
        <v>7349.25</v>
      </c>
      <c r="I489" s="38">
        <f>RTD("rtdtrading.rtdserver",, "T&amp;T1", "QUL", 481)</f>
        <v>1</v>
      </c>
      <c r="J489" s="39" t="str">
        <f>RTD("rtdtrading.rtdserver",, "T&amp;T1", "AGR", 481)</f>
        <v>Vendedor</v>
      </c>
    </row>
    <row r="490" spans="1:10" x14ac:dyDescent="0.25">
      <c r="A490" s="44" t="str">
        <f>RTD("rtdtrading.rtdserver",, "T&amp;T0", "DAT", 482)</f>
        <v>19:02:40.226</v>
      </c>
      <c r="B490" s="27">
        <f>RTD("rtdtrading.rtdserver",, "T&amp;T0", "PRE", 482)</f>
        <v>7348.5</v>
      </c>
      <c r="C490" s="28">
        <f>RTD("rtdtrading.rtdserver",, "T&amp;T0", "QUL", 482)</f>
        <v>1</v>
      </c>
      <c r="D490" s="28" t="str">
        <f>RTD("rtdtrading.rtdserver",, "T&amp;T0", "AGR", 482)</f>
        <v>Comprador</v>
      </c>
      <c r="G490" s="36" t="str">
        <f>RTD("rtdtrading.rtdserver",, "T&amp;T1", "DAT", 482)</f>
        <v>19:03:19.980</v>
      </c>
      <c r="H490" s="37">
        <f>RTD("rtdtrading.rtdserver",, "T&amp;T1", "PRE", 482)</f>
        <v>7349.25</v>
      </c>
      <c r="I490" s="38">
        <f>RTD("rtdtrading.rtdserver",, "T&amp;T1", "QUL", 482)</f>
        <v>1</v>
      </c>
      <c r="J490" s="39" t="str">
        <f>RTD("rtdtrading.rtdserver",, "T&amp;T1", "AGR", 482)</f>
        <v>Vendedor</v>
      </c>
    </row>
    <row r="491" spans="1:10" x14ac:dyDescent="0.25">
      <c r="A491" s="44" t="str">
        <f>RTD("rtdtrading.rtdserver",, "T&amp;T0", "DAT", 483)</f>
        <v>19:02:40.226</v>
      </c>
      <c r="B491" s="27">
        <f>RTD("rtdtrading.rtdserver",, "T&amp;T0", "PRE", 483)</f>
        <v>7348.5</v>
      </c>
      <c r="C491" s="28">
        <f>RTD("rtdtrading.rtdserver",, "T&amp;T0", "QUL", 483)</f>
        <v>3</v>
      </c>
      <c r="D491" s="28" t="str">
        <f>RTD("rtdtrading.rtdserver",, "T&amp;T0", "AGR", 483)</f>
        <v>Comprador</v>
      </c>
      <c r="G491" s="36" t="str">
        <f>RTD("rtdtrading.rtdserver",, "T&amp;T1", "DAT", 483)</f>
        <v>19:03:19.614</v>
      </c>
      <c r="H491" s="37">
        <f>RTD("rtdtrading.rtdserver",, "T&amp;T1", "PRE", 483)</f>
        <v>7349.25</v>
      </c>
      <c r="I491" s="38">
        <f>RTD("rtdtrading.rtdserver",, "T&amp;T1", "QUL", 483)</f>
        <v>1</v>
      </c>
      <c r="J491" s="39" t="str">
        <f>RTD("rtdtrading.rtdserver",, "T&amp;T1", "AGR", 483)</f>
        <v>Vendedor</v>
      </c>
    </row>
    <row r="492" spans="1:10" x14ac:dyDescent="0.25">
      <c r="A492" s="44" t="str">
        <f>RTD("rtdtrading.rtdserver",, "T&amp;T0", "DAT", 484)</f>
        <v>19:02:39.623</v>
      </c>
      <c r="B492" s="27">
        <f>RTD("rtdtrading.rtdserver",, "T&amp;T0", "PRE", 484)</f>
        <v>7348.25</v>
      </c>
      <c r="C492" s="28">
        <f>RTD("rtdtrading.rtdserver",, "T&amp;T0", "QUL", 484)</f>
        <v>1</v>
      </c>
      <c r="D492" s="28" t="str">
        <f>RTD("rtdtrading.rtdserver",, "T&amp;T0", "AGR", 484)</f>
        <v>Comprador</v>
      </c>
      <c r="G492" s="36" t="str">
        <f>RTD("rtdtrading.rtdserver",, "T&amp;T1", "DAT", 484)</f>
        <v>19:03:19.614</v>
      </c>
      <c r="H492" s="37">
        <f>RTD("rtdtrading.rtdserver",, "T&amp;T1", "PRE", 484)</f>
        <v>7349.25</v>
      </c>
      <c r="I492" s="38">
        <f>RTD("rtdtrading.rtdserver",, "T&amp;T1", "QUL", 484)</f>
        <v>1</v>
      </c>
      <c r="J492" s="39" t="str">
        <f>RTD("rtdtrading.rtdserver",, "T&amp;T1", "AGR", 484)</f>
        <v>Vendedor</v>
      </c>
    </row>
    <row r="493" spans="1:10" x14ac:dyDescent="0.25">
      <c r="A493" s="44" t="str">
        <f>RTD("rtdtrading.rtdserver",, "T&amp;T0", "DAT", 485)</f>
        <v>19:02:39.279</v>
      </c>
      <c r="B493" s="27">
        <f>RTD("rtdtrading.rtdserver",, "T&amp;T0", "PRE", 485)</f>
        <v>7348.25</v>
      </c>
      <c r="C493" s="28">
        <f>RTD("rtdtrading.rtdserver",, "T&amp;T0", "QUL", 485)</f>
        <v>2</v>
      </c>
      <c r="D493" s="28" t="str">
        <f>RTD("rtdtrading.rtdserver",, "T&amp;T0", "AGR", 485)</f>
        <v>Comprador</v>
      </c>
      <c r="G493" s="36" t="str">
        <f>RTD("rtdtrading.rtdserver",, "T&amp;T1", "DAT", 485)</f>
        <v>19:03:19.133</v>
      </c>
      <c r="H493" s="37">
        <f>RTD("rtdtrading.rtdserver",, "T&amp;T1", "PRE", 485)</f>
        <v>7349</v>
      </c>
      <c r="I493" s="38">
        <f>RTD("rtdtrading.rtdserver",, "T&amp;T1", "QUL", 485)</f>
        <v>2</v>
      </c>
      <c r="J493" s="39" t="str">
        <f>RTD("rtdtrading.rtdserver",, "T&amp;T1", "AGR", 485)</f>
        <v>Vendedor</v>
      </c>
    </row>
    <row r="494" spans="1:10" x14ac:dyDescent="0.25">
      <c r="A494" s="44" t="str">
        <f>RTD("rtdtrading.rtdserver",, "T&amp;T0", "DAT", 486)</f>
        <v>19:02:39.267</v>
      </c>
      <c r="B494" s="27">
        <f>RTD("rtdtrading.rtdserver",, "T&amp;T0", "PRE", 486)</f>
        <v>7348</v>
      </c>
      <c r="C494" s="28">
        <f>RTD("rtdtrading.rtdserver",, "T&amp;T0", "QUL", 486)</f>
        <v>25</v>
      </c>
      <c r="D494" s="28" t="str">
        <f>RTD("rtdtrading.rtdserver",, "T&amp;T0", "AGR", 486)</f>
        <v>Comprador</v>
      </c>
      <c r="G494" s="36" t="str">
        <f>RTD("rtdtrading.rtdserver",, "T&amp;T1", "DAT", 486)</f>
        <v>19:03:18.748</v>
      </c>
      <c r="H494" s="37">
        <f>RTD("rtdtrading.rtdserver",, "T&amp;T1", "PRE", 486)</f>
        <v>7349</v>
      </c>
      <c r="I494" s="38">
        <f>RTD("rtdtrading.rtdserver",, "T&amp;T1", "QUL", 486)</f>
        <v>1</v>
      </c>
      <c r="J494" s="39" t="str">
        <f>RTD("rtdtrading.rtdserver",, "T&amp;T1", "AGR", 486)</f>
        <v>Vendedor</v>
      </c>
    </row>
    <row r="495" spans="1:10" x14ac:dyDescent="0.25">
      <c r="A495" s="44" t="str">
        <f>RTD("rtdtrading.rtdserver",, "T&amp;T0", "DAT", 487)</f>
        <v>19:02:39.267</v>
      </c>
      <c r="B495" s="27">
        <f>RTD("rtdtrading.rtdserver",, "T&amp;T0", "PRE", 487)</f>
        <v>7348</v>
      </c>
      <c r="C495" s="28">
        <f>RTD("rtdtrading.rtdserver",, "T&amp;T0", "QUL", 487)</f>
        <v>2</v>
      </c>
      <c r="D495" s="28" t="str">
        <f>RTD("rtdtrading.rtdserver",, "T&amp;T0", "AGR", 487)</f>
        <v>Comprador</v>
      </c>
      <c r="G495" s="36" t="str">
        <f>RTD("rtdtrading.rtdserver",, "T&amp;T1", "DAT", 487)</f>
        <v>19:03:17.850</v>
      </c>
      <c r="H495" s="37">
        <f>RTD("rtdtrading.rtdserver",, "T&amp;T1", "PRE", 487)</f>
        <v>7349.25</v>
      </c>
      <c r="I495" s="38">
        <f>RTD("rtdtrading.rtdserver",, "T&amp;T1", "QUL", 487)</f>
        <v>1</v>
      </c>
      <c r="J495" s="39" t="str">
        <f>RTD("rtdtrading.rtdserver",, "T&amp;T1", "AGR", 487)</f>
        <v>Vendedor</v>
      </c>
    </row>
    <row r="496" spans="1:10" x14ac:dyDescent="0.25">
      <c r="A496" s="44" t="str">
        <f>RTD("rtdtrading.rtdserver",, "T&amp;T0", "DAT", 488)</f>
        <v>19:02:38.831</v>
      </c>
      <c r="B496" s="27">
        <f>RTD("rtdtrading.rtdserver",, "T&amp;T0", "PRE", 488)</f>
        <v>7348</v>
      </c>
      <c r="C496" s="28">
        <f>RTD("rtdtrading.rtdserver",, "T&amp;T0", "QUL", 488)</f>
        <v>2</v>
      </c>
      <c r="D496" s="28" t="str">
        <f>RTD("rtdtrading.rtdserver",, "T&amp;T0", "AGR", 488)</f>
        <v>Comprador</v>
      </c>
      <c r="G496" s="36" t="str">
        <f>RTD("rtdtrading.rtdserver",, "T&amp;T1", "DAT", 488)</f>
        <v>19:03:17.712</v>
      </c>
      <c r="H496" s="37">
        <f>RTD("rtdtrading.rtdserver",, "T&amp;T1", "PRE", 488)</f>
        <v>7349.25</v>
      </c>
      <c r="I496" s="38">
        <f>RTD("rtdtrading.rtdserver",, "T&amp;T1", "QUL", 488)</f>
        <v>1</v>
      </c>
      <c r="J496" s="39" t="str">
        <f>RTD("rtdtrading.rtdserver",, "T&amp;T1", "AGR", 488)</f>
        <v>Vendedor</v>
      </c>
    </row>
    <row r="497" spans="1:11" x14ac:dyDescent="0.25">
      <c r="A497" s="44" t="str">
        <f>RTD("rtdtrading.rtdserver",, "T&amp;T0", "DAT", 489)</f>
        <v>19:02:36.420</v>
      </c>
      <c r="B497" s="27">
        <f>RTD("rtdtrading.rtdserver",, "T&amp;T0", "PRE", 489)</f>
        <v>7348</v>
      </c>
      <c r="C497" s="28">
        <f>RTD("rtdtrading.rtdserver",, "T&amp;T0", "QUL", 489)</f>
        <v>1</v>
      </c>
      <c r="D497" s="28" t="str">
        <f>RTD("rtdtrading.rtdserver",, "T&amp;T0", "AGR", 489)</f>
        <v>Comprador</v>
      </c>
      <c r="G497" s="36" t="str">
        <f>RTD("rtdtrading.rtdserver",, "T&amp;T1", "DAT", 489)</f>
        <v>19:03:15.881</v>
      </c>
      <c r="H497" s="37">
        <f>RTD("rtdtrading.rtdserver",, "T&amp;T1", "PRE", 489)</f>
        <v>7349</v>
      </c>
      <c r="I497" s="38">
        <f>RTD("rtdtrading.rtdserver",, "T&amp;T1", "QUL", 489)</f>
        <v>1</v>
      </c>
      <c r="J497" s="39" t="str">
        <f>RTD("rtdtrading.rtdserver",, "T&amp;T1", "AGR", 489)</f>
        <v>Vendedor</v>
      </c>
    </row>
    <row r="498" spans="1:11" x14ac:dyDescent="0.25">
      <c r="A498" s="44" t="str">
        <f>RTD("rtdtrading.rtdserver",, "T&amp;T0", "DAT", 490)</f>
        <v>19:02:36.336</v>
      </c>
      <c r="B498" s="27">
        <f>RTD("rtdtrading.rtdserver",, "T&amp;T0", "PRE", 490)</f>
        <v>7348</v>
      </c>
      <c r="C498" s="28">
        <f>RTD("rtdtrading.rtdserver",, "T&amp;T0", "QUL", 490)</f>
        <v>1</v>
      </c>
      <c r="D498" s="28" t="str">
        <f>RTD("rtdtrading.rtdserver",, "T&amp;T0", "AGR", 490)</f>
        <v>Comprador</v>
      </c>
      <c r="G498" s="36" t="str">
        <f>RTD("rtdtrading.rtdserver",, "T&amp;T1", "DAT", 490)</f>
        <v>19:03:15.863</v>
      </c>
      <c r="H498" s="37">
        <f>RTD("rtdtrading.rtdserver",, "T&amp;T1", "PRE", 490)</f>
        <v>7349</v>
      </c>
      <c r="I498" s="38">
        <f>RTD("rtdtrading.rtdserver",, "T&amp;T1", "QUL", 490)</f>
        <v>1</v>
      </c>
      <c r="J498" s="39" t="str">
        <f>RTD("rtdtrading.rtdserver",, "T&amp;T1", "AGR", 490)</f>
        <v>Vendedor</v>
      </c>
    </row>
    <row r="499" spans="1:11" x14ac:dyDescent="0.25">
      <c r="A499" s="44" t="str">
        <f>RTD("rtdtrading.rtdserver",, "T&amp;T0", "DAT", 491)</f>
        <v>19:02:33.904</v>
      </c>
      <c r="B499" s="27">
        <f>RTD("rtdtrading.rtdserver",, "T&amp;T0", "PRE", 491)</f>
        <v>7348</v>
      </c>
      <c r="C499" s="28">
        <f>RTD("rtdtrading.rtdserver",, "T&amp;T0", "QUL", 491)</f>
        <v>1</v>
      </c>
      <c r="D499" s="28" t="str">
        <f>RTD("rtdtrading.rtdserver",, "T&amp;T0", "AGR", 491)</f>
        <v>Comprador</v>
      </c>
      <c r="G499" s="36" t="str">
        <f>RTD("rtdtrading.rtdserver",, "T&amp;T1", "DAT", 491)</f>
        <v>19:03:15.102</v>
      </c>
      <c r="H499" s="37">
        <f>RTD("rtdtrading.rtdserver",, "T&amp;T1", "PRE", 491)</f>
        <v>7348.75</v>
      </c>
      <c r="I499" s="38">
        <f>RTD("rtdtrading.rtdserver",, "T&amp;T1", "QUL", 491)</f>
        <v>8</v>
      </c>
      <c r="J499" s="39" t="str">
        <f>RTD("rtdtrading.rtdserver",, "T&amp;T1", "AGR", 491)</f>
        <v>Vendedor</v>
      </c>
    </row>
    <row r="500" spans="1:11" x14ac:dyDescent="0.25">
      <c r="A500" s="44" t="str">
        <f>RTD("rtdtrading.rtdserver",, "T&amp;T0", "DAT", 492)</f>
        <v>19:02:33.690</v>
      </c>
      <c r="B500" s="27">
        <f>RTD("rtdtrading.rtdserver",, "T&amp;T0", "PRE", 492)</f>
        <v>7348.25</v>
      </c>
      <c r="C500" s="28">
        <f>RTD("rtdtrading.rtdserver",, "T&amp;T0", "QUL", 492)</f>
        <v>5</v>
      </c>
      <c r="D500" s="28" t="str">
        <f>RTD("rtdtrading.rtdserver",, "T&amp;T0", "AGR", 492)</f>
        <v>Comprador</v>
      </c>
      <c r="G500" s="36" t="str">
        <f>RTD("rtdtrading.rtdserver",, "T&amp;T1", "DAT", 492)</f>
        <v>19:03:14.014</v>
      </c>
      <c r="H500" s="37">
        <f>RTD("rtdtrading.rtdserver",, "T&amp;T1", "PRE", 492)</f>
        <v>7348.75</v>
      </c>
      <c r="I500" s="38">
        <f>RTD("rtdtrading.rtdserver",, "T&amp;T1", "QUL", 492)</f>
        <v>1</v>
      </c>
      <c r="J500" s="39" t="str">
        <f>RTD("rtdtrading.rtdserver",, "T&amp;T1", "AGR", 492)</f>
        <v>Vendedor</v>
      </c>
    </row>
    <row r="501" spans="1:11" x14ac:dyDescent="0.25">
      <c r="A501" s="44" t="str">
        <f>RTD("rtdtrading.rtdserver",, "T&amp;T0", "DAT", 493)</f>
        <v>19:02:33.447</v>
      </c>
      <c r="B501" s="27">
        <f>RTD("rtdtrading.rtdserver",, "T&amp;T0", "PRE", 493)</f>
        <v>7348</v>
      </c>
      <c r="C501" s="28">
        <f>RTD("rtdtrading.rtdserver",, "T&amp;T0", "QUL", 493)</f>
        <v>1</v>
      </c>
      <c r="D501" s="28" t="str">
        <f>RTD("rtdtrading.rtdserver",, "T&amp;T0", "AGR", 493)</f>
        <v>Comprador</v>
      </c>
      <c r="G501" s="36" t="str">
        <f>RTD("rtdtrading.rtdserver",, "T&amp;T1", "DAT", 493)</f>
        <v>19:03:08.812</v>
      </c>
      <c r="H501" s="37">
        <f>RTD("rtdtrading.rtdserver",, "T&amp;T1", "PRE", 493)</f>
        <v>7347.25</v>
      </c>
      <c r="I501" s="38">
        <f>RTD("rtdtrading.rtdserver",, "T&amp;T1", "QUL", 493)</f>
        <v>1</v>
      </c>
      <c r="J501" s="39" t="str">
        <f>RTD("rtdtrading.rtdserver",, "T&amp;T1", "AGR", 493)</f>
        <v>Vendedor</v>
      </c>
    </row>
    <row r="502" spans="1:11" s="19" customFormat="1" x14ac:dyDescent="0.25">
      <c r="A502" s="44" t="str">
        <f>RTD("rtdtrading.rtdserver",, "T&amp;T0", "DAT", 494)</f>
        <v>19:02:31.499</v>
      </c>
      <c r="B502" s="27">
        <f>RTD("rtdtrading.rtdserver",, "T&amp;T0", "PRE", 494)</f>
        <v>7348.25</v>
      </c>
      <c r="C502" s="28">
        <f>RTD("rtdtrading.rtdserver",, "T&amp;T0", "QUL", 494)</f>
        <v>1</v>
      </c>
      <c r="D502" s="28" t="str">
        <f>RTD("rtdtrading.rtdserver",, "T&amp;T0", "AGR", 494)</f>
        <v>Comprador</v>
      </c>
      <c r="E502"/>
      <c r="G502" s="36" t="str">
        <f>RTD("rtdtrading.rtdserver",, "T&amp;T1", "DAT", 494)</f>
        <v>19:03:08.811</v>
      </c>
      <c r="H502" s="37">
        <f>RTD("rtdtrading.rtdserver",, "T&amp;T1", "PRE", 494)</f>
        <v>7347.25</v>
      </c>
      <c r="I502" s="38">
        <f>RTD("rtdtrading.rtdserver",, "T&amp;T1", "QUL", 494)</f>
        <v>1</v>
      </c>
      <c r="J502" s="39" t="str">
        <f>RTD("rtdtrading.rtdserver",, "T&amp;T1", "AGR", 494)</f>
        <v>Vendedor</v>
      </c>
      <c r="K502"/>
    </row>
    <row r="503" spans="1:11" x14ac:dyDescent="0.25">
      <c r="A503" s="44" t="str">
        <f>RTD("rtdtrading.rtdserver",, "T&amp;T0", "DAT", 495)</f>
        <v>19:02:29.334</v>
      </c>
      <c r="B503" s="27">
        <f>RTD("rtdtrading.rtdserver",, "T&amp;T0", "PRE", 495)</f>
        <v>7348.25</v>
      </c>
      <c r="C503" s="28">
        <f>RTD("rtdtrading.rtdserver",, "T&amp;T0", "QUL", 495)</f>
        <v>1</v>
      </c>
      <c r="D503" s="28" t="str">
        <f>RTD("rtdtrading.rtdserver",, "T&amp;T0", "AGR", 495)</f>
        <v>Comprador</v>
      </c>
      <c r="G503" s="36" t="str">
        <f>RTD("rtdtrading.rtdserver",, "T&amp;T1", "DAT", 495)</f>
        <v>19:03:08.811</v>
      </c>
      <c r="H503" s="37">
        <f>RTD("rtdtrading.rtdserver",, "T&amp;T1", "PRE", 495)</f>
        <v>7347.25</v>
      </c>
      <c r="I503" s="38">
        <f>RTD("rtdtrading.rtdserver",, "T&amp;T1", "QUL", 495)</f>
        <v>6</v>
      </c>
      <c r="J503" s="39" t="str">
        <f>RTD("rtdtrading.rtdserver",, "T&amp;T1", "AGR", 495)</f>
        <v>Vendedor</v>
      </c>
    </row>
    <row r="504" spans="1:11" x14ac:dyDescent="0.25">
      <c r="A504" s="44" t="str">
        <f>RTD("rtdtrading.rtdserver",, "T&amp;T0", "DAT", 496)</f>
        <v>19:02:29.059</v>
      </c>
      <c r="B504" s="27">
        <f>RTD("rtdtrading.rtdserver",, "T&amp;T0", "PRE", 496)</f>
        <v>7348.25</v>
      </c>
      <c r="C504" s="28">
        <f>RTD("rtdtrading.rtdserver",, "T&amp;T0", "QUL", 496)</f>
        <v>1</v>
      </c>
      <c r="D504" s="28" t="str">
        <f>RTD("rtdtrading.rtdserver",, "T&amp;T0", "AGR", 496)</f>
        <v>Comprador</v>
      </c>
      <c r="G504" s="36" t="str">
        <f>RTD("rtdtrading.rtdserver",, "T&amp;T1", "DAT", 496)</f>
        <v>19:03:08.400</v>
      </c>
      <c r="H504" s="37">
        <f>RTD("rtdtrading.rtdserver",, "T&amp;T1", "PRE", 496)</f>
        <v>7347.25</v>
      </c>
      <c r="I504" s="38">
        <f>RTD("rtdtrading.rtdserver",, "T&amp;T1", "QUL", 496)</f>
        <v>1</v>
      </c>
      <c r="J504" s="39" t="str">
        <f>RTD("rtdtrading.rtdserver",, "T&amp;T1", "AGR", 496)</f>
        <v>Vendedor</v>
      </c>
    </row>
    <row r="505" spans="1:11" x14ac:dyDescent="0.25">
      <c r="A505" s="44" t="str">
        <f>RTD("rtdtrading.rtdserver",, "T&amp;T0", "DAT", 497)</f>
        <v>19:02:28.979</v>
      </c>
      <c r="B505" s="27">
        <f>RTD("rtdtrading.rtdserver",, "T&amp;T0", "PRE", 497)</f>
        <v>7348.25</v>
      </c>
      <c r="C505" s="28">
        <f>RTD("rtdtrading.rtdserver",, "T&amp;T0", "QUL", 497)</f>
        <v>1</v>
      </c>
      <c r="D505" s="28" t="str">
        <f>RTD("rtdtrading.rtdserver",, "T&amp;T0", "AGR", 497)</f>
        <v>Comprador</v>
      </c>
      <c r="G505" s="36" t="str">
        <f>RTD("rtdtrading.rtdserver",, "T&amp;T1", "DAT", 497)</f>
        <v>19:03:06.418</v>
      </c>
      <c r="H505" s="37">
        <f>RTD("rtdtrading.rtdserver",, "T&amp;T1", "PRE", 497)</f>
        <v>7347.25</v>
      </c>
      <c r="I505" s="38">
        <f>RTD("rtdtrading.rtdserver",, "T&amp;T1", "QUL", 497)</f>
        <v>6</v>
      </c>
      <c r="J505" s="39" t="str">
        <f>RTD("rtdtrading.rtdserver",, "T&amp;T1", "AGR", 497)</f>
        <v>Vendedor</v>
      </c>
    </row>
    <row r="506" spans="1:11" x14ac:dyDescent="0.25">
      <c r="A506" s="44" t="str">
        <f>RTD("rtdtrading.rtdserver",, "T&amp;T0", "DAT", 498)</f>
        <v>19:02:26.749</v>
      </c>
      <c r="B506" s="27">
        <f>RTD("rtdtrading.rtdserver",, "T&amp;T0", "PRE", 498)</f>
        <v>7348.25</v>
      </c>
      <c r="C506" s="28">
        <f>RTD("rtdtrading.rtdserver",, "T&amp;T0", "QUL", 498)</f>
        <v>1</v>
      </c>
      <c r="D506" s="28" t="str">
        <f>RTD("rtdtrading.rtdserver",, "T&amp;T0", "AGR", 498)</f>
        <v>Comprador</v>
      </c>
      <c r="G506" s="36" t="str">
        <f>RTD("rtdtrading.rtdserver",, "T&amp;T1", "DAT", 498)</f>
        <v>19:03:06.418</v>
      </c>
      <c r="H506" s="37">
        <f>RTD("rtdtrading.rtdserver",, "T&amp;T1", "PRE", 498)</f>
        <v>7347.25</v>
      </c>
      <c r="I506" s="38">
        <f>RTD("rtdtrading.rtdserver",, "T&amp;T1", "QUL", 498)</f>
        <v>1</v>
      </c>
      <c r="J506" s="39" t="str">
        <f>RTD("rtdtrading.rtdserver",, "T&amp;T1", "AGR", 498)</f>
        <v>Vendedor</v>
      </c>
    </row>
    <row r="507" spans="1:11" ht="15.75" thickBot="1" x14ac:dyDescent="0.3">
      <c r="A507" s="45" t="str">
        <f>RTD("rtdtrading.rtdserver",, "T&amp;T0", "DAT", 499)</f>
        <v>19:02:26.590</v>
      </c>
      <c r="B507" s="29">
        <f>RTD("rtdtrading.rtdserver",, "T&amp;T0", "PRE", 499)</f>
        <v>7348.25</v>
      </c>
      <c r="C507" s="30">
        <f>RTD("rtdtrading.rtdserver",, "T&amp;T0", "QUL", 499)</f>
        <v>1</v>
      </c>
      <c r="D507" s="30" t="str">
        <f>RTD("rtdtrading.rtdserver",, "T&amp;T0", "AGR", 499)</f>
        <v>Comprador</v>
      </c>
      <c r="G507" s="40" t="str">
        <f>RTD("rtdtrading.rtdserver",, "T&amp;T1", "DAT", 499)</f>
        <v>19:03:06.418</v>
      </c>
      <c r="H507" s="41">
        <f>RTD("rtdtrading.rtdserver",, "T&amp;T1", "PRE", 499)</f>
        <v>7347.25</v>
      </c>
      <c r="I507" s="42">
        <f>RTD("rtdtrading.rtdserver",, "T&amp;T1", "QUL", 499)</f>
        <v>1</v>
      </c>
      <c r="J507" s="43" t="str">
        <f>RTD("rtdtrading.rtdserver",, "T&amp;T1", "AGR", 499)</f>
        <v>Vendedor</v>
      </c>
    </row>
    <row r="508" spans="1:11" x14ac:dyDescent="0.25">
      <c r="G508"/>
    </row>
    <row r="509" spans="1:11" x14ac:dyDescent="0.25">
      <c r="G509"/>
    </row>
    <row r="510" spans="1:11" x14ac:dyDescent="0.25">
      <c r="G510"/>
    </row>
    <row r="511" spans="1:11" x14ac:dyDescent="0.25">
      <c r="G511"/>
    </row>
    <row r="512" spans="1:11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1:11" x14ac:dyDescent="0.25">
      <c r="G993"/>
    </row>
    <row r="994" spans="1:11" x14ac:dyDescent="0.25">
      <c r="G994"/>
    </row>
    <row r="995" spans="1:11" x14ac:dyDescent="0.25">
      <c r="G995"/>
    </row>
    <row r="996" spans="1:11" x14ac:dyDescent="0.25">
      <c r="G996"/>
    </row>
    <row r="997" spans="1:11" x14ac:dyDescent="0.25">
      <c r="G997"/>
    </row>
    <row r="998" spans="1:11" x14ac:dyDescent="0.25">
      <c r="G998"/>
    </row>
    <row r="999" spans="1:11" x14ac:dyDescent="0.25">
      <c r="G999"/>
    </row>
    <row r="1000" spans="1:11" x14ac:dyDescent="0.25">
      <c r="G1000"/>
    </row>
    <row r="1001" spans="1:11" x14ac:dyDescent="0.25">
      <c r="G1001"/>
    </row>
    <row r="1002" spans="1:11" s="3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x14ac:dyDescent="0.25">
      <c r="G1003"/>
    </row>
    <row r="1004" spans="1:11" x14ac:dyDescent="0.25">
      <c r="G1004"/>
    </row>
    <row r="1005" spans="1:11" x14ac:dyDescent="0.25">
      <c r="G1005"/>
    </row>
    <row r="1006" spans="1:11" x14ac:dyDescent="0.25">
      <c r="G1006"/>
    </row>
    <row r="1007" spans="1:11" x14ac:dyDescent="0.25">
      <c r="G1007"/>
    </row>
    <row r="1008" spans="1:11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  <row r="1031" spans="7:7" x14ac:dyDescent="0.25">
      <c r="G1031"/>
    </row>
    <row r="1032" spans="7:7" x14ac:dyDescent="0.25">
      <c r="G1032"/>
    </row>
    <row r="1033" spans="7:7" x14ac:dyDescent="0.25">
      <c r="G1033"/>
    </row>
    <row r="1034" spans="7:7" x14ac:dyDescent="0.25">
      <c r="G1034"/>
    </row>
    <row r="1035" spans="7:7" x14ac:dyDescent="0.25">
      <c r="G1035"/>
    </row>
    <row r="1036" spans="7:7" x14ac:dyDescent="0.25">
      <c r="G1036"/>
    </row>
    <row r="1037" spans="7:7" x14ac:dyDescent="0.25">
      <c r="G1037"/>
    </row>
    <row r="1038" spans="7:7" x14ac:dyDescent="0.25">
      <c r="G1038"/>
    </row>
    <row r="1039" spans="7:7" x14ac:dyDescent="0.25">
      <c r="G1039"/>
    </row>
    <row r="1040" spans="7:7" x14ac:dyDescent="0.25">
      <c r="G1040"/>
    </row>
    <row r="1041" spans="7:7" x14ac:dyDescent="0.25">
      <c r="G1041"/>
    </row>
    <row r="1042" spans="7:7" x14ac:dyDescent="0.25">
      <c r="G1042"/>
    </row>
    <row r="1043" spans="7:7" x14ac:dyDescent="0.25">
      <c r="G1043"/>
    </row>
    <row r="1044" spans="7:7" x14ac:dyDescent="0.25">
      <c r="G1044"/>
    </row>
    <row r="1045" spans="7:7" x14ac:dyDescent="0.25">
      <c r="G1045"/>
    </row>
    <row r="1046" spans="7:7" x14ac:dyDescent="0.25">
      <c r="G1046"/>
    </row>
    <row r="1047" spans="7:7" x14ac:dyDescent="0.25">
      <c r="G1047"/>
    </row>
    <row r="1048" spans="7:7" x14ac:dyDescent="0.25">
      <c r="G1048"/>
    </row>
    <row r="1049" spans="7:7" x14ac:dyDescent="0.25">
      <c r="G1049"/>
    </row>
    <row r="1050" spans="7:7" x14ac:dyDescent="0.25">
      <c r="G1050"/>
    </row>
    <row r="1051" spans="7:7" x14ac:dyDescent="0.25">
      <c r="G1051"/>
    </row>
    <row r="1052" spans="7:7" x14ac:dyDescent="0.25">
      <c r="G1052"/>
    </row>
    <row r="1053" spans="7:7" x14ac:dyDescent="0.25">
      <c r="G1053"/>
    </row>
    <row r="1054" spans="7:7" x14ac:dyDescent="0.25">
      <c r="G1054"/>
    </row>
    <row r="1055" spans="7:7" x14ac:dyDescent="0.25">
      <c r="G1055"/>
    </row>
    <row r="1056" spans="7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7:7" x14ac:dyDescent="0.25">
      <c r="G1073"/>
    </row>
    <row r="1074" spans="7:7" x14ac:dyDescent="0.25">
      <c r="G1074"/>
    </row>
    <row r="1075" spans="7:7" x14ac:dyDescent="0.25">
      <c r="G1075"/>
    </row>
    <row r="1076" spans="7:7" x14ac:dyDescent="0.25">
      <c r="G1076"/>
    </row>
    <row r="1077" spans="7:7" x14ac:dyDescent="0.25">
      <c r="G1077"/>
    </row>
    <row r="1078" spans="7:7" x14ac:dyDescent="0.25">
      <c r="G1078"/>
    </row>
    <row r="1079" spans="7:7" x14ac:dyDescent="0.25">
      <c r="G1079"/>
    </row>
    <row r="1080" spans="7:7" x14ac:dyDescent="0.25">
      <c r="G1080"/>
    </row>
    <row r="1081" spans="7:7" x14ac:dyDescent="0.25">
      <c r="G1081"/>
    </row>
    <row r="1082" spans="7:7" x14ac:dyDescent="0.25">
      <c r="G1082"/>
    </row>
    <row r="1083" spans="7:7" x14ac:dyDescent="0.25">
      <c r="G1083"/>
    </row>
    <row r="1084" spans="7:7" x14ac:dyDescent="0.25">
      <c r="G1084"/>
    </row>
    <row r="1085" spans="7:7" x14ac:dyDescent="0.25">
      <c r="G1085"/>
    </row>
    <row r="1086" spans="7:7" x14ac:dyDescent="0.25">
      <c r="G1086"/>
    </row>
    <row r="1087" spans="7:7" x14ac:dyDescent="0.25">
      <c r="G1087"/>
    </row>
    <row r="1088" spans="7:7" x14ac:dyDescent="0.25">
      <c r="G1088"/>
    </row>
    <row r="1089" spans="7:7" x14ac:dyDescent="0.25">
      <c r="G1089"/>
    </row>
    <row r="1090" spans="7:7" x14ac:dyDescent="0.25">
      <c r="G1090"/>
    </row>
    <row r="1091" spans="7:7" x14ac:dyDescent="0.25">
      <c r="G1091"/>
    </row>
    <row r="1092" spans="7:7" x14ac:dyDescent="0.25">
      <c r="G1092"/>
    </row>
    <row r="1093" spans="7:7" x14ac:dyDescent="0.25">
      <c r="G1093"/>
    </row>
    <row r="1094" spans="7:7" x14ac:dyDescent="0.25">
      <c r="G1094"/>
    </row>
    <row r="1095" spans="7:7" x14ac:dyDescent="0.25">
      <c r="G1095"/>
    </row>
    <row r="1096" spans="7:7" x14ac:dyDescent="0.25">
      <c r="G1096"/>
    </row>
    <row r="1097" spans="7:7" x14ac:dyDescent="0.25">
      <c r="G1097"/>
    </row>
    <row r="1098" spans="7:7" x14ac:dyDescent="0.25">
      <c r="G1098"/>
    </row>
    <row r="1099" spans="7:7" x14ac:dyDescent="0.25">
      <c r="G1099"/>
    </row>
    <row r="1100" spans="7:7" x14ac:dyDescent="0.25">
      <c r="G1100"/>
    </row>
    <row r="1101" spans="7:7" x14ac:dyDescent="0.25">
      <c r="G1101"/>
    </row>
    <row r="1102" spans="7:7" x14ac:dyDescent="0.25">
      <c r="G1102"/>
    </row>
    <row r="1103" spans="7:7" x14ac:dyDescent="0.25">
      <c r="G1103"/>
    </row>
    <row r="1104" spans="7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7:7" x14ac:dyDescent="0.25">
      <c r="G1121"/>
    </row>
    <row r="1122" spans="7:7" x14ac:dyDescent="0.25">
      <c r="G1122"/>
    </row>
    <row r="1123" spans="7:7" x14ac:dyDescent="0.25">
      <c r="G1123"/>
    </row>
    <row r="1124" spans="7:7" x14ac:dyDescent="0.25">
      <c r="G1124"/>
    </row>
    <row r="1125" spans="7:7" x14ac:dyDescent="0.25">
      <c r="G1125"/>
    </row>
    <row r="1126" spans="7:7" x14ac:dyDescent="0.25">
      <c r="G1126"/>
    </row>
    <row r="1127" spans="7:7" x14ac:dyDescent="0.25">
      <c r="G1127"/>
    </row>
    <row r="1128" spans="7:7" x14ac:dyDescent="0.25">
      <c r="G1128"/>
    </row>
    <row r="1129" spans="7:7" x14ac:dyDescent="0.25">
      <c r="G1129"/>
    </row>
    <row r="1130" spans="7:7" x14ac:dyDescent="0.25">
      <c r="G1130"/>
    </row>
    <row r="1131" spans="7:7" x14ac:dyDescent="0.25">
      <c r="G1131"/>
    </row>
    <row r="1132" spans="7:7" x14ac:dyDescent="0.25">
      <c r="G1132"/>
    </row>
    <row r="1133" spans="7:7" x14ac:dyDescent="0.25">
      <c r="G1133"/>
    </row>
    <row r="1134" spans="7:7" x14ac:dyDescent="0.25">
      <c r="G1134"/>
    </row>
    <row r="1135" spans="7:7" x14ac:dyDescent="0.25">
      <c r="G1135"/>
    </row>
    <row r="1136" spans="7:7" x14ac:dyDescent="0.25">
      <c r="G1136"/>
    </row>
    <row r="1137" spans="7:7" x14ac:dyDescent="0.25">
      <c r="G1137"/>
    </row>
    <row r="1138" spans="7:7" x14ac:dyDescent="0.25">
      <c r="G1138"/>
    </row>
    <row r="1139" spans="7:7" x14ac:dyDescent="0.25">
      <c r="G1139"/>
    </row>
    <row r="1140" spans="7:7" x14ac:dyDescent="0.25">
      <c r="G1140"/>
    </row>
    <row r="1141" spans="7:7" x14ac:dyDescent="0.25">
      <c r="G1141"/>
    </row>
    <row r="1142" spans="7:7" x14ac:dyDescent="0.25">
      <c r="G1142"/>
    </row>
    <row r="1143" spans="7:7" x14ac:dyDescent="0.25">
      <c r="G1143"/>
    </row>
    <row r="1144" spans="7:7" x14ac:dyDescent="0.25">
      <c r="G1144"/>
    </row>
    <row r="1145" spans="7:7" x14ac:dyDescent="0.25">
      <c r="G1145"/>
    </row>
    <row r="1146" spans="7:7" x14ac:dyDescent="0.25">
      <c r="G1146"/>
    </row>
    <row r="1147" spans="7:7" x14ac:dyDescent="0.25">
      <c r="G1147"/>
    </row>
    <row r="1148" spans="7:7" x14ac:dyDescent="0.25">
      <c r="G1148"/>
    </row>
    <row r="1149" spans="7:7" x14ac:dyDescent="0.25">
      <c r="G1149"/>
    </row>
    <row r="1150" spans="7:7" x14ac:dyDescent="0.25">
      <c r="G1150"/>
    </row>
    <row r="1151" spans="7:7" x14ac:dyDescent="0.25">
      <c r="G1151"/>
    </row>
    <row r="1152" spans="7:7" x14ac:dyDescent="0.25">
      <c r="G1152"/>
    </row>
    <row r="1153" spans="7:7" x14ac:dyDescent="0.25">
      <c r="G1153"/>
    </row>
    <row r="1154" spans="7:7" x14ac:dyDescent="0.25">
      <c r="G1154"/>
    </row>
    <row r="1155" spans="7:7" x14ac:dyDescent="0.25">
      <c r="G1155"/>
    </row>
    <row r="1156" spans="7:7" x14ac:dyDescent="0.25">
      <c r="G1156"/>
    </row>
    <row r="1157" spans="7:7" x14ac:dyDescent="0.25">
      <c r="G1157"/>
    </row>
    <row r="1158" spans="7:7" x14ac:dyDescent="0.25">
      <c r="G1158"/>
    </row>
    <row r="1159" spans="7:7" x14ac:dyDescent="0.25">
      <c r="G1159"/>
    </row>
    <row r="1160" spans="7:7" x14ac:dyDescent="0.25">
      <c r="G1160"/>
    </row>
    <row r="1161" spans="7:7" x14ac:dyDescent="0.25">
      <c r="G1161"/>
    </row>
    <row r="1162" spans="7:7" x14ac:dyDescent="0.25">
      <c r="G1162"/>
    </row>
    <row r="1163" spans="7:7" x14ac:dyDescent="0.25">
      <c r="G1163"/>
    </row>
    <row r="1164" spans="7:7" x14ac:dyDescent="0.25">
      <c r="G1164"/>
    </row>
    <row r="1165" spans="7:7" x14ac:dyDescent="0.25">
      <c r="G1165"/>
    </row>
    <row r="1166" spans="7:7" x14ac:dyDescent="0.25">
      <c r="G1166"/>
    </row>
    <row r="1167" spans="7:7" x14ac:dyDescent="0.25">
      <c r="G1167"/>
    </row>
    <row r="1168" spans="7:7" x14ac:dyDescent="0.25">
      <c r="G1168"/>
    </row>
    <row r="1169" spans="7:7" x14ac:dyDescent="0.25">
      <c r="G1169"/>
    </row>
    <row r="1170" spans="7:7" x14ac:dyDescent="0.25">
      <c r="G1170"/>
    </row>
    <row r="1171" spans="7:7" x14ac:dyDescent="0.25">
      <c r="G1171"/>
    </row>
    <row r="1172" spans="7:7" x14ac:dyDescent="0.25">
      <c r="G1172"/>
    </row>
    <row r="1173" spans="7:7" x14ac:dyDescent="0.25">
      <c r="G1173"/>
    </row>
    <row r="1174" spans="7:7" x14ac:dyDescent="0.25">
      <c r="G1174"/>
    </row>
    <row r="1175" spans="7:7" x14ac:dyDescent="0.25">
      <c r="G1175"/>
    </row>
    <row r="1176" spans="7:7" x14ac:dyDescent="0.25">
      <c r="G1176"/>
    </row>
    <row r="1177" spans="7:7" x14ac:dyDescent="0.25">
      <c r="G1177"/>
    </row>
    <row r="1178" spans="7:7" x14ac:dyDescent="0.25">
      <c r="G1178"/>
    </row>
    <row r="1179" spans="7:7" x14ac:dyDescent="0.25">
      <c r="G1179"/>
    </row>
    <row r="1180" spans="7:7" x14ac:dyDescent="0.25">
      <c r="G1180"/>
    </row>
    <row r="1181" spans="7:7" x14ac:dyDescent="0.25">
      <c r="G1181"/>
    </row>
    <row r="1182" spans="7:7" x14ac:dyDescent="0.25">
      <c r="G1182"/>
    </row>
    <row r="1183" spans="7:7" x14ac:dyDescent="0.25">
      <c r="G1183"/>
    </row>
    <row r="1184" spans="7:7" x14ac:dyDescent="0.25">
      <c r="G1184"/>
    </row>
    <row r="1185" spans="7:7" x14ac:dyDescent="0.25">
      <c r="G1185"/>
    </row>
    <row r="1186" spans="7:7" x14ac:dyDescent="0.25">
      <c r="G1186"/>
    </row>
    <row r="1187" spans="7:7" x14ac:dyDescent="0.25">
      <c r="G1187"/>
    </row>
    <row r="1188" spans="7:7" x14ac:dyDescent="0.25">
      <c r="G1188"/>
    </row>
    <row r="1189" spans="7:7" x14ac:dyDescent="0.25">
      <c r="G1189"/>
    </row>
    <row r="1190" spans="7:7" x14ac:dyDescent="0.25">
      <c r="G1190"/>
    </row>
    <row r="1191" spans="7:7" x14ac:dyDescent="0.25">
      <c r="G1191"/>
    </row>
    <row r="1192" spans="7:7" x14ac:dyDescent="0.25">
      <c r="G1192"/>
    </row>
    <row r="1193" spans="7:7" x14ac:dyDescent="0.25">
      <c r="G1193"/>
    </row>
    <row r="1194" spans="7:7" x14ac:dyDescent="0.25">
      <c r="G1194"/>
    </row>
    <row r="1195" spans="7:7" x14ac:dyDescent="0.25">
      <c r="G1195"/>
    </row>
    <row r="1196" spans="7:7" x14ac:dyDescent="0.25">
      <c r="G1196"/>
    </row>
    <row r="1197" spans="7:7" x14ac:dyDescent="0.25">
      <c r="G1197"/>
    </row>
    <row r="1198" spans="7:7" x14ac:dyDescent="0.25">
      <c r="G1198"/>
    </row>
    <row r="1199" spans="7:7" x14ac:dyDescent="0.25">
      <c r="G1199"/>
    </row>
    <row r="1200" spans="7:7" x14ac:dyDescent="0.25">
      <c r="G1200"/>
    </row>
    <row r="1201" spans="7:7" x14ac:dyDescent="0.25">
      <c r="G1201"/>
    </row>
    <row r="1202" spans="7:7" x14ac:dyDescent="0.25">
      <c r="G1202"/>
    </row>
    <row r="1203" spans="7:7" x14ac:dyDescent="0.25">
      <c r="G1203"/>
    </row>
    <row r="1204" spans="7:7" x14ac:dyDescent="0.25">
      <c r="G1204"/>
    </row>
    <row r="1205" spans="7:7" x14ac:dyDescent="0.25">
      <c r="G1205"/>
    </row>
    <row r="1206" spans="7:7" x14ac:dyDescent="0.25">
      <c r="G1206"/>
    </row>
    <row r="1207" spans="7:7" x14ac:dyDescent="0.25">
      <c r="G1207"/>
    </row>
    <row r="1208" spans="7:7" x14ac:dyDescent="0.25">
      <c r="G1208"/>
    </row>
    <row r="1209" spans="7:7" x14ac:dyDescent="0.25">
      <c r="G1209"/>
    </row>
    <row r="1210" spans="7:7" x14ac:dyDescent="0.25">
      <c r="G1210"/>
    </row>
    <row r="1211" spans="7:7" x14ac:dyDescent="0.25">
      <c r="G1211"/>
    </row>
    <row r="1212" spans="7:7" x14ac:dyDescent="0.25">
      <c r="G1212"/>
    </row>
    <row r="1213" spans="7:7" x14ac:dyDescent="0.25">
      <c r="G1213"/>
    </row>
    <row r="1214" spans="7:7" x14ac:dyDescent="0.25">
      <c r="G1214"/>
    </row>
    <row r="1215" spans="7:7" x14ac:dyDescent="0.25">
      <c r="G1215"/>
    </row>
    <row r="1216" spans="7:7" x14ac:dyDescent="0.25">
      <c r="G1216"/>
    </row>
    <row r="1217" spans="7:7" x14ac:dyDescent="0.25">
      <c r="G1217"/>
    </row>
    <row r="1218" spans="7:7" x14ac:dyDescent="0.25">
      <c r="G1218"/>
    </row>
    <row r="1219" spans="7:7" x14ac:dyDescent="0.25">
      <c r="G1219"/>
    </row>
    <row r="1220" spans="7:7" x14ac:dyDescent="0.25">
      <c r="G1220"/>
    </row>
    <row r="1221" spans="7:7" x14ac:dyDescent="0.25">
      <c r="G1221"/>
    </row>
    <row r="1222" spans="7:7" x14ac:dyDescent="0.25">
      <c r="G1222"/>
    </row>
    <row r="1223" spans="7:7" x14ac:dyDescent="0.25">
      <c r="G1223"/>
    </row>
    <row r="1224" spans="7:7" x14ac:dyDescent="0.25">
      <c r="G1224"/>
    </row>
    <row r="1225" spans="7:7" x14ac:dyDescent="0.25">
      <c r="G1225"/>
    </row>
    <row r="1226" spans="7:7" x14ac:dyDescent="0.25">
      <c r="G1226"/>
    </row>
    <row r="1227" spans="7:7" x14ac:dyDescent="0.25">
      <c r="G1227"/>
    </row>
    <row r="1228" spans="7:7" x14ac:dyDescent="0.25">
      <c r="G1228"/>
    </row>
    <row r="1229" spans="7:7" x14ac:dyDescent="0.25">
      <c r="G1229"/>
    </row>
    <row r="1230" spans="7:7" x14ac:dyDescent="0.25">
      <c r="G1230"/>
    </row>
    <row r="1231" spans="7:7" x14ac:dyDescent="0.25">
      <c r="G1231"/>
    </row>
    <row r="1232" spans="7:7" x14ac:dyDescent="0.25">
      <c r="G1232"/>
    </row>
    <row r="1233" spans="7:7" x14ac:dyDescent="0.25">
      <c r="G1233"/>
    </row>
    <row r="1234" spans="7:7" x14ac:dyDescent="0.25">
      <c r="G1234"/>
    </row>
    <row r="1235" spans="7:7" x14ac:dyDescent="0.25">
      <c r="G1235"/>
    </row>
    <row r="1236" spans="7:7" x14ac:dyDescent="0.25">
      <c r="G1236"/>
    </row>
    <row r="1237" spans="7:7" x14ac:dyDescent="0.25">
      <c r="G1237"/>
    </row>
    <row r="1238" spans="7:7" x14ac:dyDescent="0.25">
      <c r="G1238"/>
    </row>
    <row r="1239" spans="7:7" x14ac:dyDescent="0.25">
      <c r="G1239"/>
    </row>
    <row r="1240" spans="7:7" x14ac:dyDescent="0.25">
      <c r="G1240"/>
    </row>
    <row r="1241" spans="7:7" x14ac:dyDescent="0.25">
      <c r="G1241"/>
    </row>
    <row r="1242" spans="7:7" x14ac:dyDescent="0.25">
      <c r="G1242"/>
    </row>
    <row r="1243" spans="7:7" x14ac:dyDescent="0.25">
      <c r="G1243"/>
    </row>
    <row r="1244" spans="7:7" x14ac:dyDescent="0.25">
      <c r="G1244"/>
    </row>
    <row r="1245" spans="7:7" x14ac:dyDescent="0.25">
      <c r="G1245"/>
    </row>
    <row r="1246" spans="7:7" x14ac:dyDescent="0.25">
      <c r="G1246"/>
    </row>
    <row r="1247" spans="7:7" x14ac:dyDescent="0.25">
      <c r="G1247"/>
    </row>
    <row r="1248" spans="7:7" x14ac:dyDescent="0.25">
      <c r="G1248"/>
    </row>
    <row r="1249" spans="7:7" x14ac:dyDescent="0.25">
      <c r="G1249"/>
    </row>
    <row r="1250" spans="7:7" x14ac:dyDescent="0.25">
      <c r="G1250"/>
    </row>
    <row r="1251" spans="7:7" x14ac:dyDescent="0.25">
      <c r="G1251"/>
    </row>
    <row r="1252" spans="7:7" x14ac:dyDescent="0.25">
      <c r="G1252"/>
    </row>
    <row r="1253" spans="7:7" x14ac:dyDescent="0.25">
      <c r="G1253"/>
    </row>
    <row r="1254" spans="7:7" x14ac:dyDescent="0.25">
      <c r="G1254"/>
    </row>
    <row r="1255" spans="7:7" x14ac:dyDescent="0.25">
      <c r="G1255"/>
    </row>
    <row r="1256" spans="7:7" x14ac:dyDescent="0.25">
      <c r="G1256"/>
    </row>
    <row r="1257" spans="7:7" x14ac:dyDescent="0.25">
      <c r="G1257"/>
    </row>
    <row r="1258" spans="7:7" x14ac:dyDescent="0.25">
      <c r="G1258"/>
    </row>
    <row r="1259" spans="7:7" x14ac:dyDescent="0.25">
      <c r="G1259"/>
    </row>
    <row r="1260" spans="7:7" x14ac:dyDescent="0.25">
      <c r="G1260"/>
    </row>
    <row r="1261" spans="7:7" x14ac:dyDescent="0.25">
      <c r="G1261"/>
    </row>
    <row r="1262" spans="7:7" x14ac:dyDescent="0.25">
      <c r="G1262"/>
    </row>
    <row r="1263" spans="7:7" x14ac:dyDescent="0.25">
      <c r="G1263"/>
    </row>
    <row r="1264" spans="7:7" x14ac:dyDescent="0.25">
      <c r="G1264"/>
    </row>
    <row r="1265" spans="7:7" x14ac:dyDescent="0.25">
      <c r="G1265"/>
    </row>
    <row r="1266" spans="7:7" x14ac:dyDescent="0.25">
      <c r="G1266"/>
    </row>
    <row r="1267" spans="7:7" x14ac:dyDescent="0.25">
      <c r="G1267"/>
    </row>
    <row r="1268" spans="7:7" x14ac:dyDescent="0.25">
      <c r="G1268"/>
    </row>
    <row r="1269" spans="7:7" x14ac:dyDescent="0.25">
      <c r="G1269"/>
    </row>
    <row r="1270" spans="7:7" x14ac:dyDescent="0.25">
      <c r="G1270"/>
    </row>
    <row r="1271" spans="7:7" x14ac:dyDescent="0.25">
      <c r="G1271"/>
    </row>
    <row r="1272" spans="7:7" x14ac:dyDescent="0.25">
      <c r="G1272"/>
    </row>
    <row r="1273" spans="7:7" x14ac:dyDescent="0.25">
      <c r="G1273"/>
    </row>
    <row r="1274" spans="7:7" x14ac:dyDescent="0.25">
      <c r="G1274"/>
    </row>
    <row r="1275" spans="7:7" x14ac:dyDescent="0.25">
      <c r="G1275"/>
    </row>
    <row r="1276" spans="7:7" x14ac:dyDescent="0.25">
      <c r="G1276"/>
    </row>
    <row r="1277" spans="7:7" x14ac:dyDescent="0.25">
      <c r="G1277"/>
    </row>
    <row r="1278" spans="7:7" x14ac:dyDescent="0.25">
      <c r="G1278"/>
    </row>
    <row r="1279" spans="7:7" x14ac:dyDescent="0.25">
      <c r="G1279"/>
    </row>
    <row r="1280" spans="7:7" x14ac:dyDescent="0.25">
      <c r="G1280"/>
    </row>
    <row r="1281" spans="7:7" x14ac:dyDescent="0.25">
      <c r="G1281"/>
    </row>
    <row r="1282" spans="7:7" x14ac:dyDescent="0.25">
      <c r="G1282"/>
    </row>
    <row r="1283" spans="7:7" x14ac:dyDescent="0.25">
      <c r="G1283"/>
    </row>
    <row r="1284" spans="7:7" x14ac:dyDescent="0.25">
      <c r="G1284"/>
    </row>
    <row r="1285" spans="7:7" x14ac:dyDescent="0.25">
      <c r="G1285"/>
    </row>
    <row r="1286" spans="7:7" x14ac:dyDescent="0.25">
      <c r="G1286"/>
    </row>
    <row r="1287" spans="7:7" x14ac:dyDescent="0.25">
      <c r="G1287"/>
    </row>
    <row r="1288" spans="7:7" x14ac:dyDescent="0.25">
      <c r="G1288"/>
    </row>
    <row r="1289" spans="7:7" x14ac:dyDescent="0.25">
      <c r="G1289"/>
    </row>
    <row r="1290" spans="7:7" x14ac:dyDescent="0.25">
      <c r="G1290"/>
    </row>
    <row r="1291" spans="7:7" x14ac:dyDescent="0.25">
      <c r="G1291"/>
    </row>
    <row r="1292" spans="7:7" x14ac:dyDescent="0.25">
      <c r="G1292"/>
    </row>
    <row r="1293" spans="7:7" x14ac:dyDescent="0.25">
      <c r="G1293"/>
    </row>
    <row r="1294" spans="7:7" x14ac:dyDescent="0.25">
      <c r="G1294"/>
    </row>
    <row r="1295" spans="7:7" x14ac:dyDescent="0.25">
      <c r="G1295"/>
    </row>
    <row r="1296" spans="7:7" x14ac:dyDescent="0.25">
      <c r="G1296"/>
    </row>
    <row r="1297" spans="7:7" x14ac:dyDescent="0.25">
      <c r="G1297"/>
    </row>
    <row r="1298" spans="7:7" x14ac:dyDescent="0.25">
      <c r="G1298"/>
    </row>
    <row r="1299" spans="7:7" x14ac:dyDescent="0.25">
      <c r="G1299"/>
    </row>
    <row r="1300" spans="7:7" x14ac:dyDescent="0.25">
      <c r="G1300"/>
    </row>
    <row r="1301" spans="7:7" x14ac:dyDescent="0.25">
      <c r="G1301"/>
    </row>
    <row r="1302" spans="7:7" x14ac:dyDescent="0.25">
      <c r="G1302"/>
    </row>
    <row r="1303" spans="7:7" x14ac:dyDescent="0.25">
      <c r="G1303"/>
    </row>
    <row r="1304" spans="7:7" x14ac:dyDescent="0.25">
      <c r="G1304"/>
    </row>
    <row r="1305" spans="7:7" x14ac:dyDescent="0.25">
      <c r="G1305"/>
    </row>
    <row r="1306" spans="7:7" x14ac:dyDescent="0.25">
      <c r="G1306"/>
    </row>
    <row r="1307" spans="7:7" x14ac:dyDescent="0.25">
      <c r="G1307"/>
    </row>
    <row r="1308" spans="7:7" x14ac:dyDescent="0.25">
      <c r="G1308"/>
    </row>
    <row r="1309" spans="7:7" x14ac:dyDescent="0.25">
      <c r="G1309"/>
    </row>
    <row r="1310" spans="7:7" x14ac:dyDescent="0.25">
      <c r="G1310"/>
    </row>
    <row r="1311" spans="7:7" x14ac:dyDescent="0.25">
      <c r="G1311"/>
    </row>
    <row r="1312" spans="7:7" x14ac:dyDescent="0.25">
      <c r="G1312"/>
    </row>
    <row r="1313" spans="7:7" x14ac:dyDescent="0.25">
      <c r="G1313"/>
    </row>
    <row r="1314" spans="7:7" x14ac:dyDescent="0.25">
      <c r="G1314"/>
    </row>
    <row r="1315" spans="7:7" x14ac:dyDescent="0.25">
      <c r="G1315"/>
    </row>
    <row r="1316" spans="7:7" x14ac:dyDescent="0.25">
      <c r="G1316"/>
    </row>
    <row r="1317" spans="7:7" x14ac:dyDescent="0.25">
      <c r="G1317"/>
    </row>
    <row r="1318" spans="7:7" x14ac:dyDescent="0.25">
      <c r="G1318"/>
    </row>
    <row r="1319" spans="7:7" x14ac:dyDescent="0.25">
      <c r="G1319"/>
    </row>
    <row r="1320" spans="7:7" x14ac:dyDescent="0.25">
      <c r="G1320"/>
    </row>
    <row r="1321" spans="7:7" x14ac:dyDescent="0.25">
      <c r="G1321"/>
    </row>
    <row r="1322" spans="7:7" x14ac:dyDescent="0.25">
      <c r="G1322"/>
    </row>
    <row r="1323" spans="7:7" x14ac:dyDescent="0.25">
      <c r="G1323"/>
    </row>
    <row r="1324" spans="7:7" x14ac:dyDescent="0.25">
      <c r="G1324"/>
    </row>
    <row r="1325" spans="7:7" x14ac:dyDescent="0.25">
      <c r="G1325"/>
    </row>
    <row r="1326" spans="7:7" x14ac:dyDescent="0.25">
      <c r="G1326"/>
    </row>
    <row r="1327" spans="7:7" x14ac:dyDescent="0.25">
      <c r="G1327"/>
    </row>
    <row r="1328" spans="7:7" x14ac:dyDescent="0.25">
      <c r="G1328"/>
    </row>
    <row r="1329" spans="7:7" x14ac:dyDescent="0.25">
      <c r="G1329"/>
    </row>
    <row r="1330" spans="7:7" x14ac:dyDescent="0.25">
      <c r="G1330"/>
    </row>
    <row r="1331" spans="7:7" x14ac:dyDescent="0.25">
      <c r="G1331"/>
    </row>
    <row r="1332" spans="7:7" x14ac:dyDescent="0.25">
      <c r="G1332"/>
    </row>
    <row r="1333" spans="7:7" x14ac:dyDescent="0.25">
      <c r="G1333"/>
    </row>
    <row r="1334" spans="7:7" x14ac:dyDescent="0.25">
      <c r="G1334"/>
    </row>
    <row r="1335" spans="7:7" x14ac:dyDescent="0.25">
      <c r="G1335"/>
    </row>
    <row r="1336" spans="7:7" x14ac:dyDescent="0.25">
      <c r="G1336"/>
    </row>
    <row r="1337" spans="7:7" x14ac:dyDescent="0.25">
      <c r="G1337"/>
    </row>
    <row r="1338" spans="7:7" x14ac:dyDescent="0.25">
      <c r="G1338"/>
    </row>
    <row r="1339" spans="7:7" x14ac:dyDescent="0.25">
      <c r="G1339"/>
    </row>
    <row r="1340" spans="7:7" x14ac:dyDescent="0.25">
      <c r="G1340"/>
    </row>
    <row r="1341" spans="7:7" x14ac:dyDescent="0.25">
      <c r="G1341"/>
    </row>
    <row r="1342" spans="7:7" x14ac:dyDescent="0.25">
      <c r="G1342"/>
    </row>
    <row r="1343" spans="7:7" x14ac:dyDescent="0.25">
      <c r="G1343"/>
    </row>
    <row r="1344" spans="7:7" x14ac:dyDescent="0.25">
      <c r="G1344"/>
    </row>
    <row r="1345" spans="7:7" x14ac:dyDescent="0.25">
      <c r="G1345"/>
    </row>
    <row r="1346" spans="7:7" x14ac:dyDescent="0.25">
      <c r="G1346"/>
    </row>
    <row r="1347" spans="7:7" x14ac:dyDescent="0.25">
      <c r="G1347"/>
    </row>
    <row r="1348" spans="7:7" x14ac:dyDescent="0.25">
      <c r="G1348"/>
    </row>
    <row r="1349" spans="7:7" x14ac:dyDescent="0.25">
      <c r="G1349"/>
    </row>
    <row r="1350" spans="7:7" x14ac:dyDescent="0.25">
      <c r="G1350"/>
    </row>
    <row r="1351" spans="7:7" x14ac:dyDescent="0.25">
      <c r="G1351"/>
    </row>
    <row r="1352" spans="7:7" x14ac:dyDescent="0.25">
      <c r="G1352"/>
    </row>
    <row r="1353" spans="7:7" x14ac:dyDescent="0.25">
      <c r="G1353"/>
    </row>
    <row r="1354" spans="7:7" x14ac:dyDescent="0.25">
      <c r="G1354"/>
    </row>
    <row r="1355" spans="7:7" x14ac:dyDescent="0.25">
      <c r="G1355"/>
    </row>
    <row r="1356" spans="7:7" x14ac:dyDescent="0.25">
      <c r="G1356"/>
    </row>
    <row r="1357" spans="7:7" x14ac:dyDescent="0.25">
      <c r="G1357"/>
    </row>
    <row r="1358" spans="7:7" x14ac:dyDescent="0.25">
      <c r="G1358"/>
    </row>
    <row r="1359" spans="7:7" x14ac:dyDescent="0.25">
      <c r="G1359"/>
    </row>
    <row r="1360" spans="7:7" x14ac:dyDescent="0.25">
      <c r="G1360"/>
    </row>
    <row r="1361" spans="7:7" x14ac:dyDescent="0.25">
      <c r="G1361"/>
    </row>
    <row r="1362" spans="7:7" x14ac:dyDescent="0.25">
      <c r="G1362"/>
    </row>
    <row r="1363" spans="7:7" x14ac:dyDescent="0.25">
      <c r="G1363"/>
    </row>
    <row r="1364" spans="7:7" x14ac:dyDescent="0.25">
      <c r="G1364"/>
    </row>
    <row r="1365" spans="7:7" x14ac:dyDescent="0.25">
      <c r="G1365"/>
    </row>
    <row r="1366" spans="7:7" x14ac:dyDescent="0.25">
      <c r="G1366"/>
    </row>
    <row r="1367" spans="7:7" x14ac:dyDescent="0.25">
      <c r="G1367"/>
    </row>
    <row r="1368" spans="7:7" x14ac:dyDescent="0.25">
      <c r="G1368"/>
    </row>
    <row r="1369" spans="7:7" x14ac:dyDescent="0.25">
      <c r="G1369"/>
    </row>
    <row r="1370" spans="7:7" x14ac:dyDescent="0.25">
      <c r="G1370"/>
    </row>
    <row r="1371" spans="7:7" x14ac:dyDescent="0.25">
      <c r="G1371"/>
    </row>
    <row r="1372" spans="7:7" x14ac:dyDescent="0.25">
      <c r="G1372"/>
    </row>
    <row r="1373" spans="7:7" x14ac:dyDescent="0.25">
      <c r="G1373"/>
    </row>
    <row r="1374" spans="7:7" x14ac:dyDescent="0.25">
      <c r="G1374"/>
    </row>
    <row r="1375" spans="7:7" x14ac:dyDescent="0.25">
      <c r="G1375"/>
    </row>
    <row r="1376" spans="7:7" x14ac:dyDescent="0.25">
      <c r="G1376"/>
    </row>
    <row r="1377" spans="7:7" x14ac:dyDescent="0.25">
      <c r="G1377"/>
    </row>
    <row r="1378" spans="7:7" x14ac:dyDescent="0.25">
      <c r="G1378"/>
    </row>
    <row r="1379" spans="7:7" x14ac:dyDescent="0.25">
      <c r="G1379"/>
    </row>
    <row r="1380" spans="7:7" x14ac:dyDescent="0.25">
      <c r="G1380"/>
    </row>
    <row r="1381" spans="7:7" x14ac:dyDescent="0.25">
      <c r="G1381"/>
    </row>
    <row r="1382" spans="7:7" x14ac:dyDescent="0.25">
      <c r="G1382"/>
    </row>
    <row r="1383" spans="7:7" x14ac:dyDescent="0.25">
      <c r="G1383"/>
    </row>
    <row r="1384" spans="7:7" x14ac:dyDescent="0.25">
      <c r="G1384"/>
    </row>
    <row r="1385" spans="7:7" x14ac:dyDescent="0.25">
      <c r="G1385"/>
    </row>
    <row r="1386" spans="7:7" x14ac:dyDescent="0.25">
      <c r="G1386"/>
    </row>
    <row r="1387" spans="7:7" x14ac:dyDescent="0.25">
      <c r="G1387"/>
    </row>
    <row r="1388" spans="7:7" x14ac:dyDescent="0.25">
      <c r="G1388"/>
    </row>
    <row r="1389" spans="7:7" x14ac:dyDescent="0.25">
      <c r="G1389"/>
    </row>
    <row r="1390" spans="7:7" x14ac:dyDescent="0.25">
      <c r="G1390"/>
    </row>
    <row r="1391" spans="7:7" x14ac:dyDescent="0.25">
      <c r="G1391"/>
    </row>
    <row r="1392" spans="7:7" x14ac:dyDescent="0.25">
      <c r="G1392"/>
    </row>
    <row r="1393" spans="7:7" x14ac:dyDescent="0.25">
      <c r="G1393"/>
    </row>
    <row r="1394" spans="7:7" x14ac:dyDescent="0.25">
      <c r="G1394"/>
    </row>
    <row r="1395" spans="7:7" x14ac:dyDescent="0.25">
      <c r="G1395"/>
    </row>
    <row r="1396" spans="7:7" x14ac:dyDescent="0.25">
      <c r="G1396"/>
    </row>
    <row r="1397" spans="7:7" x14ac:dyDescent="0.25">
      <c r="G1397"/>
    </row>
    <row r="1398" spans="7:7" x14ac:dyDescent="0.25">
      <c r="G1398"/>
    </row>
    <row r="1399" spans="7:7" x14ac:dyDescent="0.25">
      <c r="G1399"/>
    </row>
    <row r="1400" spans="7:7" x14ac:dyDescent="0.25">
      <c r="G1400"/>
    </row>
    <row r="1401" spans="7:7" x14ac:dyDescent="0.25">
      <c r="G1401"/>
    </row>
    <row r="1402" spans="7:7" x14ac:dyDescent="0.25">
      <c r="G1402"/>
    </row>
    <row r="1403" spans="7:7" x14ac:dyDescent="0.25">
      <c r="G1403"/>
    </row>
    <row r="1404" spans="7:7" x14ac:dyDescent="0.25">
      <c r="G1404"/>
    </row>
    <row r="1405" spans="7:7" x14ac:dyDescent="0.25">
      <c r="G1405"/>
    </row>
    <row r="1406" spans="7:7" x14ac:dyDescent="0.25">
      <c r="G1406"/>
    </row>
    <row r="1407" spans="7:7" x14ac:dyDescent="0.25">
      <c r="G1407"/>
    </row>
    <row r="1408" spans="7:7" x14ac:dyDescent="0.25">
      <c r="G1408"/>
    </row>
    <row r="1409" spans="7:7" x14ac:dyDescent="0.25">
      <c r="G1409"/>
    </row>
    <row r="1410" spans="7:7" x14ac:dyDescent="0.25">
      <c r="G1410"/>
    </row>
    <row r="1411" spans="7:7" x14ac:dyDescent="0.25">
      <c r="G1411"/>
    </row>
    <row r="1412" spans="7:7" x14ac:dyDescent="0.25">
      <c r="G1412"/>
    </row>
    <row r="1413" spans="7:7" x14ac:dyDescent="0.25">
      <c r="G1413"/>
    </row>
    <row r="1414" spans="7:7" x14ac:dyDescent="0.25">
      <c r="G1414"/>
    </row>
    <row r="1415" spans="7:7" x14ac:dyDescent="0.25">
      <c r="G1415"/>
    </row>
    <row r="1416" spans="7:7" x14ac:dyDescent="0.25">
      <c r="G1416"/>
    </row>
    <row r="1417" spans="7:7" x14ac:dyDescent="0.25">
      <c r="G1417"/>
    </row>
    <row r="1418" spans="7:7" x14ac:dyDescent="0.25">
      <c r="G1418"/>
    </row>
    <row r="1419" spans="7:7" x14ac:dyDescent="0.25">
      <c r="G1419"/>
    </row>
    <row r="1420" spans="7:7" x14ac:dyDescent="0.25">
      <c r="G1420"/>
    </row>
    <row r="1421" spans="7:7" x14ac:dyDescent="0.25">
      <c r="G1421"/>
    </row>
    <row r="1422" spans="7:7" x14ac:dyDescent="0.25">
      <c r="G1422"/>
    </row>
    <row r="1423" spans="7:7" x14ac:dyDescent="0.25">
      <c r="G1423"/>
    </row>
    <row r="1424" spans="7:7" x14ac:dyDescent="0.25">
      <c r="G1424"/>
    </row>
    <row r="1425" spans="7:7" x14ac:dyDescent="0.25">
      <c r="G1425"/>
    </row>
    <row r="1426" spans="7:7" x14ac:dyDescent="0.25">
      <c r="G1426"/>
    </row>
    <row r="1427" spans="7:7" x14ac:dyDescent="0.25">
      <c r="G1427"/>
    </row>
    <row r="1428" spans="7:7" x14ac:dyDescent="0.25">
      <c r="G1428"/>
    </row>
    <row r="1429" spans="7:7" x14ac:dyDescent="0.25">
      <c r="G1429"/>
    </row>
    <row r="1430" spans="7:7" x14ac:dyDescent="0.25">
      <c r="G1430"/>
    </row>
    <row r="1431" spans="7:7" x14ac:dyDescent="0.25">
      <c r="G1431"/>
    </row>
    <row r="1432" spans="7:7" x14ac:dyDescent="0.25">
      <c r="G1432"/>
    </row>
    <row r="1433" spans="7:7" x14ac:dyDescent="0.25">
      <c r="G1433"/>
    </row>
    <row r="1434" spans="7:7" x14ac:dyDescent="0.25">
      <c r="G1434"/>
    </row>
    <row r="1435" spans="7:7" x14ac:dyDescent="0.25">
      <c r="G1435"/>
    </row>
    <row r="1436" spans="7:7" x14ac:dyDescent="0.25">
      <c r="G1436"/>
    </row>
    <row r="1437" spans="7:7" x14ac:dyDescent="0.25">
      <c r="G1437"/>
    </row>
    <row r="1438" spans="7:7" x14ac:dyDescent="0.25">
      <c r="G1438"/>
    </row>
    <row r="1439" spans="7:7" x14ac:dyDescent="0.25">
      <c r="G1439"/>
    </row>
    <row r="1440" spans="7:7" x14ac:dyDescent="0.25">
      <c r="G1440"/>
    </row>
    <row r="1441" spans="7:7" x14ac:dyDescent="0.25">
      <c r="G1441"/>
    </row>
    <row r="1442" spans="7:7" x14ac:dyDescent="0.25">
      <c r="G1442"/>
    </row>
    <row r="1443" spans="7:7" x14ac:dyDescent="0.25">
      <c r="G1443"/>
    </row>
    <row r="1444" spans="7:7" x14ac:dyDescent="0.25">
      <c r="G1444"/>
    </row>
    <row r="1445" spans="7:7" x14ac:dyDescent="0.25">
      <c r="G1445"/>
    </row>
    <row r="1446" spans="7:7" x14ac:dyDescent="0.25">
      <c r="G1446"/>
    </row>
    <row r="1447" spans="7:7" x14ac:dyDescent="0.25">
      <c r="G1447"/>
    </row>
    <row r="1448" spans="7:7" x14ac:dyDescent="0.25">
      <c r="G1448"/>
    </row>
    <row r="1449" spans="7:7" x14ac:dyDescent="0.25">
      <c r="G1449"/>
    </row>
    <row r="1450" spans="7:7" x14ac:dyDescent="0.25">
      <c r="G1450"/>
    </row>
    <row r="1451" spans="7:7" x14ac:dyDescent="0.25">
      <c r="G1451"/>
    </row>
    <row r="1452" spans="7:7" x14ac:dyDescent="0.25">
      <c r="G1452"/>
    </row>
    <row r="1453" spans="7:7" x14ac:dyDescent="0.25">
      <c r="G1453"/>
    </row>
    <row r="1454" spans="7:7" x14ac:dyDescent="0.25">
      <c r="G1454"/>
    </row>
    <row r="1455" spans="7:7" x14ac:dyDescent="0.25">
      <c r="G1455"/>
    </row>
    <row r="1456" spans="7:7" x14ac:dyDescent="0.25">
      <c r="G1456"/>
    </row>
    <row r="1457" spans="7:7" x14ac:dyDescent="0.25">
      <c r="G1457"/>
    </row>
    <row r="1458" spans="7:7" x14ac:dyDescent="0.25">
      <c r="G1458"/>
    </row>
    <row r="1459" spans="7:7" x14ac:dyDescent="0.25">
      <c r="G1459"/>
    </row>
    <row r="1460" spans="7:7" x14ac:dyDescent="0.25">
      <c r="G1460"/>
    </row>
    <row r="1461" spans="7:7" x14ac:dyDescent="0.25">
      <c r="G1461"/>
    </row>
    <row r="1462" spans="7:7" x14ac:dyDescent="0.25">
      <c r="G1462"/>
    </row>
    <row r="1463" spans="7:7" x14ac:dyDescent="0.25">
      <c r="G1463"/>
    </row>
    <row r="1464" spans="7:7" x14ac:dyDescent="0.25">
      <c r="G1464"/>
    </row>
    <row r="1465" spans="7:7" x14ac:dyDescent="0.25">
      <c r="G1465"/>
    </row>
    <row r="1466" spans="7:7" x14ac:dyDescent="0.25">
      <c r="G1466"/>
    </row>
    <row r="1467" spans="7:7" x14ac:dyDescent="0.25">
      <c r="G1467"/>
    </row>
    <row r="1468" spans="7:7" x14ac:dyDescent="0.25">
      <c r="G1468"/>
    </row>
    <row r="1469" spans="7:7" x14ac:dyDescent="0.25">
      <c r="G1469"/>
    </row>
    <row r="1470" spans="7:7" x14ac:dyDescent="0.25">
      <c r="G1470"/>
    </row>
    <row r="1471" spans="7:7" x14ac:dyDescent="0.25">
      <c r="G1471"/>
    </row>
    <row r="1472" spans="7:7" x14ac:dyDescent="0.25">
      <c r="G1472"/>
    </row>
    <row r="1473" spans="7:7" x14ac:dyDescent="0.25">
      <c r="G1473"/>
    </row>
    <row r="1474" spans="7:7" x14ac:dyDescent="0.25">
      <c r="G1474"/>
    </row>
    <row r="1475" spans="7:7" x14ac:dyDescent="0.25">
      <c r="G1475"/>
    </row>
    <row r="1476" spans="7:7" x14ac:dyDescent="0.25">
      <c r="G1476"/>
    </row>
    <row r="1477" spans="7:7" x14ac:dyDescent="0.25">
      <c r="G1477"/>
    </row>
    <row r="1478" spans="7:7" x14ac:dyDescent="0.25">
      <c r="G1478"/>
    </row>
    <row r="1479" spans="7:7" x14ac:dyDescent="0.25">
      <c r="G1479"/>
    </row>
    <row r="1480" spans="7:7" x14ac:dyDescent="0.25">
      <c r="G1480"/>
    </row>
    <row r="1481" spans="7:7" x14ac:dyDescent="0.25">
      <c r="G1481"/>
    </row>
    <row r="1482" spans="7:7" x14ac:dyDescent="0.25">
      <c r="G1482"/>
    </row>
    <row r="1483" spans="7:7" x14ac:dyDescent="0.25">
      <c r="G1483"/>
    </row>
    <row r="1484" spans="7:7" x14ac:dyDescent="0.25">
      <c r="G1484"/>
    </row>
    <row r="1485" spans="7:7" x14ac:dyDescent="0.25">
      <c r="G1485"/>
    </row>
    <row r="1486" spans="7:7" x14ac:dyDescent="0.25">
      <c r="G1486"/>
    </row>
    <row r="1487" spans="7:7" x14ac:dyDescent="0.25">
      <c r="G1487"/>
    </row>
    <row r="1488" spans="7:7" x14ac:dyDescent="0.25">
      <c r="G1488"/>
    </row>
    <row r="1489" spans="1:11" x14ac:dyDescent="0.25">
      <c r="G1489"/>
    </row>
    <row r="1490" spans="1:11" x14ac:dyDescent="0.25">
      <c r="G1490"/>
    </row>
    <row r="1491" spans="1:11" x14ac:dyDescent="0.25">
      <c r="G1491"/>
    </row>
    <row r="1492" spans="1:11" x14ac:dyDescent="0.25">
      <c r="G1492"/>
    </row>
    <row r="1493" spans="1:11" x14ac:dyDescent="0.25">
      <c r="G1493"/>
    </row>
    <row r="1494" spans="1:11" x14ac:dyDescent="0.25">
      <c r="G1494"/>
    </row>
    <row r="1495" spans="1:11" x14ac:dyDescent="0.25">
      <c r="G1495"/>
    </row>
    <row r="1496" spans="1:11" x14ac:dyDescent="0.25">
      <c r="G1496"/>
    </row>
    <row r="1497" spans="1:11" x14ac:dyDescent="0.25">
      <c r="G1497"/>
    </row>
    <row r="1498" spans="1:11" x14ac:dyDescent="0.25">
      <c r="G1498"/>
    </row>
    <row r="1499" spans="1:11" x14ac:dyDescent="0.25">
      <c r="G1499"/>
    </row>
    <row r="1500" spans="1:11" x14ac:dyDescent="0.25">
      <c r="G1500"/>
    </row>
    <row r="1501" spans="1:11" x14ac:dyDescent="0.25">
      <c r="G1501"/>
    </row>
    <row r="1502" spans="1:11" s="3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x14ac:dyDescent="0.25">
      <c r="G1503"/>
    </row>
    <row r="1504" spans="1:11" x14ac:dyDescent="0.25">
      <c r="G1504"/>
    </row>
    <row r="1505" spans="7:7" x14ac:dyDescent="0.25">
      <c r="G1505"/>
    </row>
    <row r="1506" spans="7:7" x14ac:dyDescent="0.25">
      <c r="G1506"/>
    </row>
    <row r="1507" spans="7:7" x14ac:dyDescent="0.25">
      <c r="G1507"/>
    </row>
    <row r="1508" spans="7:7" x14ac:dyDescent="0.25">
      <c r="G1508"/>
    </row>
    <row r="1509" spans="7:7" x14ac:dyDescent="0.25">
      <c r="G1509"/>
    </row>
    <row r="1510" spans="7:7" x14ac:dyDescent="0.25">
      <c r="G1510"/>
    </row>
    <row r="1511" spans="7:7" x14ac:dyDescent="0.25">
      <c r="G1511"/>
    </row>
    <row r="1512" spans="7:7" x14ac:dyDescent="0.25">
      <c r="G1512"/>
    </row>
    <row r="1513" spans="7:7" x14ac:dyDescent="0.25">
      <c r="G1513"/>
    </row>
    <row r="1514" spans="7:7" x14ac:dyDescent="0.25">
      <c r="G1514"/>
    </row>
    <row r="1515" spans="7:7" x14ac:dyDescent="0.25">
      <c r="G1515"/>
    </row>
    <row r="1516" spans="7:7" x14ac:dyDescent="0.25">
      <c r="G1516"/>
    </row>
    <row r="1517" spans="7:7" x14ac:dyDescent="0.25">
      <c r="G1517"/>
    </row>
    <row r="1518" spans="7:7" x14ac:dyDescent="0.25">
      <c r="G1518"/>
    </row>
    <row r="1519" spans="7:7" x14ac:dyDescent="0.25">
      <c r="G1519"/>
    </row>
    <row r="1520" spans="7:7" x14ac:dyDescent="0.25">
      <c r="G1520"/>
    </row>
    <row r="1521" spans="7:7" x14ac:dyDescent="0.25">
      <c r="G1521"/>
    </row>
    <row r="1522" spans="7:7" x14ac:dyDescent="0.25">
      <c r="G1522"/>
    </row>
    <row r="1523" spans="7:7" x14ac:dyDescent="0.25">
      <c r="G1523"/>
    </row>
    <row r="1524" spans="7:7" x14ac:dyDescent="0.25">
      <c r="G1524"/>
    </row>
    <row r="1525" spans="7:7" x14ac:dyDescent="0.25">
      <c r="G1525"/>
    </row>
    <row r="1526" spans="7:7" x14ac:dyDescent="0.25">
      <c r="G1526"/>
    </row>
    <row r="1527" spans="7:7" x14ac:dyDescent="0.25">
      <c r="G1527"/>
    </row>
    <row r="1528" spans="7:7" x14ac:dyDescent="0.25">
      <c r="G1528"/>
    </row>
    <row r="1529" spans="7:7" x14ac:dyDescent="0.25">
      <c r="G1529"/>
    </row>
    <row r="1530" spans="7:7" x14ac:dyDescent="0.25">
      <c r="G1530"/>
    </row>
    <row r="1531" spans="7:7" x14ac:dyDescent="0.25">
      <c r="G1531"/>
    </row>
    <row r="1532" spans="7:7" x14ac:dyDescent="0.25">
      <c r="G1532"/>
    </row>
    <row r="1533" spans="7:7" x14ac:dyDescent="0.25">
      <c r="G1533"/>
    </row>
    <row r="1534" spans="7:7" x14ac:dyDescent="0.25">
      <c r="G1534"/>
    </row>
    <row r="1535" spans="7:7" x14ac:dyDescent="0.25">
      <c r="G1535"/>
    </row>
    <row r="1536" spans="7:7" x14ac:dyDescent="0.25">
      <c r="G1536"/>
    </row>
    <row r="1537" spans="7:7" x14ac:dyDescent="0.25">
      <c r="G1537"/>
    </row>
    <row r="1538" spans="7:7" x14ac:dyDescent="0.25">
      <c r="G1538"/>
    </row>
    <row r="1539" spans="7:7" x14ac:dyDescent="0.25">
      <c r="G1539"/>
    </row>
    <row r="1540" spans="7:7" x14ac:dyDescent="0.25">
      <c r="G1540"/>
    </row>
    <row r="1541" spans="7:7" x14ac:dyDescent="0.25">
      <c r="G1541"/>
    </row>
    <row r="1542" spans="7:7" x14ac:dyDescent="0.25">
      <c r="G1542"/>
    </row>
    <row r="1543" spans="7:7" x14ac:dyDescent="0.25">
      <c r="G1543"/>
    </row>
    <row r="1544" spans="7:7" x14ac:dyDescent="0.25">
      <c r="G1544"/>
    </row>
    <row r="1545" spans="7:7" x14ac:dyDescent="0.25">
      <c r="G1545"/>
    </row>
    <row r="1546" spans="7:7" x14ac:dyDescent="0.25">
      <c r="G1546"/>
    </row>
    <row r="1547" spans="7:7" x14ac:dyDescent="0.25">
      <c r="G1547"/>
    </row>
    <row r="1548" spans="7:7" x14ac:dyDescent="0.25">
      <c r="G1548"/>
    </row>
    <row r="1549" spans="7:7" x14ac:dyDescent="0.25">
      <c r="G1549"/>
    </row>
    <row r="1550" spans="7:7" x14ac:dyDescent="0.25">
      <c r="G1550"/>
    </row>
    <row r="1551" spans="7:7" x14ac:dyDescent="0.25">
      <c r="G1551"/>
    </row>
    <row r="1552" spans="7:7" x14ac:dyDescent="0.25">
      <c r="G1552"/>
    </row>
    <row r="1553" spans="7:7" x14ac:dyDescent="0.25">
      <c r="G1553"/>
    </row>
    <row r="1554" spans="7:7" x14ac:dyDescent="0.25">
      <c r="G1554"/>
    </row>
    <row r="1555" spans="7:7" x14ac:dyDescent="0.25">
      <c r="G1555"/>
    </row>
    <row r="1556" spans="7:7" x14ac:dyDescent="0.25">
      <c r="G1556"/>
    </row>
    <row r="1557" spans="7:7" x14ac:dyDescent="0.25">
      <c r="G1557"/>
    </row>
    <row r="1558" spans="7:7" x14ac:dyDescent="0.25">
      <c r="G1558"/>
    </row>
    <row r="1559" spans="7:7" x14ac:dyDescent="0.25">
      <c r="G1559"/>
    </row>
    <row r="1560" spans="7:7" x14ac:dyDescent="0.25">
      <c r="G1560"/>
    </row>
    <row r="1561" spans="7:7" x14ac:dyDescent="0.25">
      <c r="G1561"/>
    </row>
    <row r="1562" spans="7:7" x14ac:dyDescent="0.25">
      <c r="G1562"/>
    </row>
    <row r="1563" spans="7:7" x14ac:dyDescent="0.25">
      <c r="G1563"/>
    </row>
    <row r="1564" spans="7:7" x14ac:dyDescent="0.25">
      <c r="G1564"/>
    </row>
    <row r="1565" spans="7:7" x14ac:dyDescent="0.25">
      <c r="G1565"/>
    </row>
    <row r="1566" spans="7:7" x14ac:dyDescent="0.25">
      <c r="G1566"/>
    </row>
    <row r="1567" spans="7:7" x14ac:dyDescent="0.25">
      <c r="G1567"/>
    </row>
    <row r="1568" spans="7:7" x14ac:dyDescent="0.25">
      <c r="G1568"/>
    </row>
    <row r="1569" spans="7:7" x14ac:dyDescent="0.25">
      <c r="G1569"/>
    </row>
    <row r="1570" spans="7:7" x14ac:dyDescent="0.25">
      <c r="G1570"/>
    </row>
    <row r="1571" spans="7:7" x14ac:dyDescent="0.25">
      <c r="G1571"/>
    </row>
    <row r="1572" spans="7:7" x14ac:dyDescent="0.25">
      <c r="G1572"/>
    </row>
    <row r="1573" spans="7:7" x14ac:dyDescent="0.25">
      <c r="G1573"/>
    </row>
    <row r="1574" spans="7:7" x14ac:dyDescent="0.25">
      <c r="G1574"/>
    </row>
    <row r="1575" spans="7:7" x14ac:dyDescent="0.25">
      <c r="G1575"/>
    </row>
    <row r="1576" spans="7:7" x14ac:dyDescent="0.25">
      <c r="G1576"/>
    </row>
    <row r="1577" spans="7:7" x14ac:dyDescent="0.25">
      <c r="G1577"/>
    </row>
    <row r="1578" spans="7:7" x14ac:dyDescent="0.25">
      <c r="G1578"/>
    </row>
    <row r="1579" spans="7:7" x14ac:dyDescent="0.25">
      <c r="G1579"/>
    </row>
    <row r="1580" spans="7:7" x14ac:dyDescent="0.25">
      <c r="G1580"/>
    </row>
    <row r="1581" spans="7:7" x14ac:dyDescent="0.25">
      <c r="G1581"/>
    </row>
    <row r="1582" spans="7:7" x14ac:dyDescent="0.25">
      <c r="G1582"/>
    </row>
    <row r="1583" spans="7:7" x14ac:dyDescent="0.25">
      <c r="G1583"/>
    </row>
    <row r="1584" spans="7:7" x14ac:dyDescent="0.25">
      <c r="G1584"/>
    </row>
    <row r="1585" spans="7:7" x14ac:dyDescent="0.25">
      <c r="G1585"/>
    </row>
    <row r="1586" spans="7:7" x14ac:dyDescent="0.25">
      <c r="G1586"/>
    </row>
    <row r="1587" spans="7:7" x14ac:dyDescent="0.25">
      <c r="G1587"/>
    </row>
    <row r="1588" spans="7:7" x14ac:dyDescent="0.25">
      <c r="G1588"/>
    </row>
    <row r="1589" spans="7:7" x14ac:dyDescent="0.25">
      <c r="G1589"/>
    </row>
    <row r="1590" spans="7:7" x14ac:dyDescent="0.25">
      <c r="G1590"/>
    </row>
    <row r="1591" spans="7:7" x14ac:dyDescent="0.25">
      <c r="G1591"/>
    </row>
    <row r="1592" spans="7:7" x14ac:dyDescent="0.25">
      <c r="G1592"/>
    </row>
    <row r="1593" spans="7:7" x14ac:dyDescent="0.25">
      <c r="G1593"/>
    </row>
    <row r="1594" spans="7:7" x14ac:dyDescent="0.25">
      <c r="G1594"/>
    </row>
    <row r="1595" spans="7:7" x14ac:dyDescent="0.25">
      <c r="G1595"/>
    </row>
    <row r="1596" spans="7:7" x14ac:dyDescent="0.25">
      <c r="G1596"/>
    </row>
    <row r="1597" spans="7:7" x14ac:dyDescent="0.25">
      <c r="G1597"/>
    </row>
    <row r="1598" spans="7:7" x14ac:dyDescent="0.25">
      <c r="G1598"/>
    </row>
    <row r="1599" spans="7:7" x14ac:dyDescent="0.25">
      <c r="G1599"/>
    </row>
    <row r="1600" spans="7:7" x14ac:dyDescent="0.25">
      <c r="G1600"/>
    </row>
    <row r="1601" spans="7:7" x14ac:dyDescent="0.25">
      <c r="G1601"/>
    </row>
    <row r="1602" spans="7:7" x14ac:dyDescent="0.25">
      <c r="G1602"/>
    </row>
    <row r="1603" spans="7:7" x14ac:dyDescent="0.25">
      <c r="G1603"/>
    </row>
    <row r="1604" spans="7:7" x14ac:dyDescent="0.25">
      <c r="G1604"/>
    </row>
    <row r="1605" spans="7:7" x14ac:dyDescent="0.25">
      <c r="G1605"/>
    </row>
    <row r="1606" spans="7:7" x14ac:dyDescent="0.25">
      <c r="G1606"/>
    </row>
    <row r="1607" spans="7:7" x14ac:dyDescent="0.25">
      <c r="G1607"/>
    </row>
    <row r="1608" spans="7:7" x14ac:dyDescent="0.25">
      <c r="G1608"/>
    </row>
    <row r="1609" spans="7:7" x14ac:dyDescent="0.25">
      <c r="G1609"/>
    </row>
    <row r="1610" spans="7:7" x14ac:dyDescent="0.25">
      <c r="G1610"/>
    </row>
    <row r="1611" spans="7:7" x14ac:dyDescent="0.25">
      <c r="G1611"/>
    </row>
    <row r="1612" spans="7:7" x14ac:dyDescent="0.25">
      <c r="G1612"/>
    </row>
    <row r="1613" spans="7:7" x14ac:dyDescent="0.25">
      <c r="G1613"/>
    </row>
    <row r="1614" spans="7:7" x14ac:dyDescent="0.25">
      <c r="G1614"/>
    </row>
    <row r="1615" spans="7:7" x14ac:dyDescent="0.25">
      <c r="G1615"/>
    </row>
    <row r="1616" spans="7:7" x14ac:dyDescent="0.25">
      <c r="G1616"/>
    </row>
    <row r="1617" spans="7:7" x14ac:dyDescent="0.25">
      <c r="G1617"/>
    </row>
    <row r="1618" spans="7:7" x14ac:dyDescent="0.25">
      <c r="G1618"/>
    </row>
    <row r="1619" spans="7:7" x14ac:dyDescent="0.25">
      <c r="G1619"/>
    </row>
    <row r="1620" spans="7:7" x14ac:dyDescent="0.25">
      <c r="G1620"/>
    </row>
    <row r="1621" spans="7:7" x14ac:dyDescent="0.25">
      <c r="G1621"/>
    </row>
    <row r="1622" spans="7:7" x14ac:dyDescent="0.25">
      <c r="G1622"/>
    </row>
    <row r="1623" spans="7:7" x14ac:dyDescent="0.25">
      <c r="G1623"/>
    </row>
    <row r="1624" spans="7:7" x14ac:dyDescent="0.25">
      <c r="G1624"/>
    </row>
    <row r="1625" spans="7:7" x14ac:dyDescent="0.25">
      <c r="G1625"/>
    </row>
    <row r="1626" spans="7:7" x14ac:dyDescent="0.25">
      <c r="G1626"/>
    </row>
    <row r="1627" spans="7:7" x14ac:dyDescent="0.25">
      <c r="G1627"/>
    </row>
    <row r="1628" spans="7:7" x14ac:dyDescent="0.25">
      <c r="G1628"/>
    </row>
    <row r="1629" spans="7:7" x14ac:dyDescent="0.25">
      <c r="G1629"/>
    </row>
    <row r="1630" spans="7:7" x14ac:dyDescent="0.25">
      <c r="G1630"/>
    </row>
    <row r="1631" spans="7:7" x14ac:dyDescent="0.25">
      <c r="G1631"/>
    </row>
    <row r="1632" spans="7:7" x14ac:dyDescent="0.25">
      <c r="G1632"/>
    </row>
    <row r="1633" spans="7:7" x14ac:dyDescent="0.25">
      <c r="G1633"/>
    </row>
    <row r="1634" spans="7:7" x14ac:dyDescent="0.25">
      <c r="G1634"/>
    </row>
    <row r="1635" spans="7:7" x14ac:dyDescent="0.25">
      <c r="G1635"/>
    </row>
    <row r="1636" spans="7:7" x14ac:dyDescent="0.25">
      <c r="G1636"/>
    </row>
    <row r="1637" spans="7:7" x14ac:dyDescent="0.25">
      <c r="G1637"/>
    </row>
    <row r="1638" spans="7:7" x14ac:dyDescent="0.25">
      <c r="G1638"/>
    </row>
    <row r="1639" spans="7:7" x14ac:dyDescent="0.25">
      <c r="G1639"/>
    </row>
    <row r="1640" spans="7:7" x14ac:dyDescent="0.25">
      <c r="G1640"/>
    </row>
    <row r="1641" spans="7:7" x14ac:dyDescent="0.25">
      <c r="G1641"/>
    </row>
    <row r="1642" spans="7:7" x14ac:dyDescent="0.25">
      <c r="G1642"/>
    </row>
    <row r="1643" spans="7:7" x14ac:dyDescent="0.25">
      <c r="G1643"/>
    </row>
    <row r="1644" spans="7:7" x14ac:dyDescent="0.25">
      <c r="G1644"/>
    </row>
    <row r="1645" spans="7:7" x14ac:dyDescent="0.25">
      <c r="G1645"/>
    </row>
    <row r="1646" spans="7:7" x14ac:dyDescent="0.25">
      <c r="G1646"/>
    </row>
    <row r="1647" spans="7:7" x14ac:dyDescent="0.25">
      <c r="G1647"/>
    </row>
    <row r="1648" spans="7:7" x14ac:dyDescent="0.25">
      <c r="G1648"/>
    </row>
    <row r="1649" spans="7:7" x14ac:dyDescent="0.25">
      <c r="G1649"/>
    </row>
    <row r="1650" spans="7:7" x14ac:dyDescent="0.25">
      <c r="G1650"/>
    </row>
    <row r="1651" spans="7:7" x14ac:dyDescent="0.25">
      <c r="G1651"/>
    </row>
    <row r="1652" spans="7:7" x14ac:dyDescent="0.25">
      <c r="G1652"/>
    </row>
    <row r="1653" spans="7:7" x14ac:dyDescent="0.25">
      <c r="G1653"/>
    </row>
    <row r="1654" spans="7:7" x14ac:dyDescent="0.25">
      <c r="G1654"/>
    </row>
    <row r="1655" spans="7:7" x14ac:dyDescent="0.25">
      <c r="G1655"/>
    </row>
    <row r="1656" spans="7:7" x14ac:dyDescent="0.25">
      <c r="G1656"/>
    </row>
    <row r="1657" spans="7:7" x14ac:dyDescent="0.25">
      <c r="G1657"/>
    </row>
    <row r="1658" spans="7:7" x14ac:dyDescent="0.25">
      <c r="G1658"/>
    </row>
    <row r="1659" spans="7:7" x14ac:dyDescent="0.25">
      <c r="G1659"/>
    </row>
    <row r="1660" spans="7:7" x14ac:dyDescent="0.25">
      <c r="G1660"/>
    </row>
    <row r="1661" spans="7:7" x14ac:dyDescent="0.25">
      <c r="G1661"/>
    </row>
    <row r="1662" spans="7:7" x14ac:dyDescent="0.25">
      <c r="G1662"/>
    </row>
    <row r="1663" spans="7:7" x14ac:dyDescent="0.25">
      <c r="G1663"/>
    </row>
    <row r="1664" spans="7:7" x14ac:dyDescent="0.25">
      <c r="G1664"/>
    </row>
    <row r="1665" spans="7:7" x14ac:dyDescent="0.25">
      <c r="G1665"/>
    </row>
    <row r="1666" spans="7:7" x14ac:dyDescent="0.25">
      <c r="G1666"/>
    </row>
    <row r="1667" spans="7:7" x14ac:dyDescent="0.25">
      <c r="G1667"/>
    </row>
    <row r="1668" spans="7:7" x14ac:dyDescent="0.25">
      <c r="G1668"/>
    </row>
    <row r="1669" spans="7:7" x14ac:dyDescent="0.25">
      <c r="G1669"/>
    </row>
    <row r="1670" spans="7:7" x14ac:dyDescent="0.25">
      <c r="G1670"/>
    </row>
    <row r="1671" spans="7:7" x14ac:dyDescent="0.25">
      <c r="G1671"/>
    </row>
    <row r="1672" spans="7:7" x14ac:dyDescent="0.25">
      <c r="G1672"/>
    </row>
    <row r="1673" spans="7:7" x14ac:dyDescent="0.25">
      <c r="G1673"/>
    </row>
    <row r="1674" spans="7:7" x14ac:dyDescent="0.25">
      <c r="G1674"/>
    </row>
    <row r="1675" spans="7:7" x14ac:dyDescent="0.25">
      <c r="G1675"/>
    </row>
    <row r="1676" spans="7:7" x14ac:dyDescent="0.25">
      <c r="G1676"/>
    </row>
    <row r="1677" spans="7:7" x14ac:dyDescent="0.25">
      <c r="G1677"/>
    </row>
    <row r="1678" spans="7:7" x14ac:dyDescent="0.25">
      <c r="G1678"/>
    </row>
    <row r="1679" spans="7:7" x14ac:dyDescent="0.25">
      <c r="G1679"/>
    </row>
    <row r="1680" spans="7:7" x14ac:dyDescent="0.25">
      <c r="G1680"/>
    </row>
    <row r="1681" spans="7:7" x14ac:dyDescent="0.25">
      <c r="G1681"/>
    </row>
    <row r="1682" spans="7:7" x14ac:dyDescent="0.25">
      <c r="G1682"/>
    </row>
    <row r="1683" spans="7:7" x14ac:dyDescent="0.25">
      <c r="G1683"/>
    </row>
    <row r="1684" spans="7:7" x14ac:dyDescent="0.25">
      <c r="G1684"/>
    </row>
    <row r="1685" spans="7:7" x14ac:dyDescent="0.25">
      <c r="G1685"/>
    </row>
    <row r="1686" spans="7:7" x14ac:dyDescent="0.25">
      <c r="G1686"/>
    </row>
    <row r="1687" spans="7:7" x14ac:dyDescent="0.25">
      <c r="G1687"/>
    </row>
    <row r="1688" spans="7:7" x14ac:dyDescent="0.25">
      <c r="G1688"/>
    </row>
    <row r="1689" spans="7:7" x14ac:dyDescent="0.25">
      <c r="G1689"/>
    </row>
    <row r="1690" spans="7:7" x14ac:dyDescent="0.25">
      <c r="G1690"/>
    </row>
    <row r="1691" spans="7:7" x14ac:dyDescent="0.25">
      <c r="G1691"/>
    </row>
    <row r="1692" spans="7:7" x14ac:dyDescent="0.25">
      <c r="G1692"/>
    </row>
    <row r="1693" spans="7:7" x14ac:dyDescent="0.25">
      <c r="G1693"/>
    </row>
    <row r="1694" spans="7:7" x14ac:dyDescent="0.25">
      <c r="G1694"/>
    </row>
    <row r="1695" spans="7:7" x14ac:dyDescent="0.25">
      <c r="G1695"/>
    </row>
    <row r="1696" spans="7:7" x14ac:dyDescent="0.25">
      <c r="G1696"/>
    </row>
    <row r="1697" spans="7:7" x14ac:dyDescent="0.25">
      <c r="G1697"/>
    </row>
    <row r="1698" spans="7:7" x14ac:dyDescent="0.25">
      <c r="G1698"/>
    </row>
    <row r="1699" spans="7:7" x14ac:dyDescent="0.25">
      <c r="G1699"/>
    </row>
    <row r="1700" spans="7:7" x14ac:dyDescent="0.25">
      <c r="G1700"/>
    </row>
    <row r="1701" spans="7:7" x14ac:dyDescent="0.25">
      <c r="G1701"/>
    </row>
    <row r="1702" spans="7:7" x14ac:dyDescent="0.25">
      <c r="G1702"/>
    </row>
    <row r="1703" spans="7:7" x14ac:dyDescent="0.25">
      <c r="G1703"/>
    </row>
    <row r="1704" spans="7:7" x14ac:dyDescent="0.25">
      <c r="G1704"/>
    </row>
    <row r="1705" spans="7:7" x14ac:dyDescent="0.25">
      <c r="G1705"/>
    </row>
    <row r="1706" spans="7:7" x14ac:dyDescent="0.25">
      <c r="G1706"/>
    </row>
    <row r="1707" spans="7:7" x14ac:dyDescent="0.25">
      <c r="G1707"/>
    </row>
    <row r="1708" spans="7:7" x14ac:dyDescent="0.25">
      <c r="G1708"/>
    </row>
    <row r="1709" spans="7:7" x14ac:dyDescent="0.25">
      <c r="G1709"/>
    </row>
    <row r="1710" spans="7:7" x14ac:dyDescent="0.25">
      <c r="G1710"/>
    </row>
    <row r="1711" spans="7:7" x14ac:dyDescent="0.25">
      <c r="G1711"/>
    </row>
    <row r="1712" spans="7:7" x14ac:dyDescent="0.25">
      <c r="G1712"/>
    </row>
    <row r="1713" spans="7:7" x14ac:dyDescent="0.25">
      <c r="G1713"/>
    </row>
    <row r="1714" spans="7:7" x14ac:dyDescent="0.25">
      <c r="G1714"/>
    </row>
    <row r="1715" spans="7:7" x14ac:dyDescent="0.25">
      <c r="G1715"/>
    </row>
    <row r="1716" spans="7:7" x14ac:dyDescent="0.25">
      <c r="G1716"/>
    </row>
    <row r="1717" spans="7:7" x14ac:dyDescent="0.25">
      <c r="G1717"/>
    </row>
    <row r="1718" spans="7:7" x14ac:dyDescent="0.25">
      <c r="G1718"/>
    </row>
    <row r="1719" spans="7:7" x14ac:dyDescent="0.25">
      <c r="G1719"/>
    </row>
    <row r="1720" spans="7:7" x14ac:dyDescent="0.25">
      <c r="G1720"/>
    </row>
    <row r="1721" spans="7:7" x14ac:dyDescent="0.25">
      <c r="G1721"/>
    </row>
    <row r="1722" spans="7:7" x14ac:dyDescent="0.25">
      <c r="G1722"/>
    </row>
    <row r="1723" spans="7:7" x14ac:dyDescent="0.25">
      <c r="G1723"/>
    </row>
    <row r="1724" spans="7:7" x14ac:dyDescent="0.25">
      <c r="G1724"/>
    </row>
    <row r="1725" spans="7:7" x14ac:dyDescent="0.25">
      <c r="G1725"/>
    </row>
    <row r="1726" spans="7:7" x14ac:dyDescent="0.25">
      <c r="G1726"/>
    </row>
    <row r="1727" spans="7:7" x14ac:dyDescent="0.25">
      <c r="G1727"/>
    </row>
    <row r="1728" spans="7:7" x14ac:dyDescent="0.25">
      <c r="G1728"/>
    </row>
    <row r="1729" spans="7:7" x14ac:dyDescent="0.25">
      <c r="G1729"/>
    </row>
    <row r="1730" spans="7:7" x14ac:dyDescent="0.25">
      <c r="G1730"/>
    </row>
    <row r="1731" spans="7:7" x14ac:dyDescent="0.25">
      <c r="G1731"/>
    </row>
    <row r="1732" spans="7:7" x14ac:dyDescent="0.25">
      <c r="G1732"/>
    </row>
    <row r="1733" spans="7:7" x14ac:dyDescent="0.25">
      <c r="G1733"/>
    </row>
    <row r="1734" spans="7:7" x14ac:dyDescent="0.25">
      <c r="G1734"/>
    </row>
    <row r="1735" spans="7:7" x14ac:dyDescent="0.25">
      <c r="G1735"/>
    </row>
    <row r="1736" spans="7:7" x14ac:dyDescent="0.25">
      <c r="G1736"/>
    </row>
    <row r="1737" spans="7:7" x14ac:dyDescent="0.25">
      <c r="G1737"/>
    </row>
    <row r="1738" spans="7:7" x14ac:dyDescent="0.25">
      <c r="G1738"/>
    </row>
    <row r="1739" spans="7:7" x14ac:dyDescent="0.25">
      <c r="G1739"/>
    </row>
    <row r="1740" spans="7:7" x14ac:dyDescent="0.25">
      <c r="G1740"/>
    </row>
    <row r="1741" spans="7:7" x14ac:dyDescent="0.25">
      <c r="G1741"/>
    </row>
    <row r="1742" spans="7:7" x14ac:dyDescent="0.25">
      <c r="G1742"/>
    </row>
    <row r="1743" spans="7:7" x14ac:dyDescent="0.25">
      <c r="G1743"/>
    </row>
    <row r="1744" spans="7:7" x14ac:dyDescent="0.25">
      <c r="G1744"/>
    </row>
    <row r="1745" spans="7:7" x14ac:dyDescent="0.25">
      <c r="G1745"/>
    </row>
    <row r="1746" spans="7:7" x14ac:dyDescent="0.25">
      <c r="G1746"/>
    </row>
    <row r="1747" spans="7:7" x14ac:dyDescent="0.25">
      <c r="G1747"/>
    </row>
    <row r="1748" spans="7:7" x14ac:dyDescent="0.25">
      <c r="G1748"/>
    </row>
    <row r="1749" spans="7:7" x14ac:dyDescent="0.25">
      <c r="G1749"/>
    </row>
    <row r="1750" spans="7:7" x14ac:dyDescent="0.25">
      <c r="G1750"/>
    </row>
    <row r="1751" spans="7:7" x14ac:dyDescent="0.25">
      <c r="G1751"/>
    </row>
    <row r="1752" spans="7:7" x14ac:dyDescent="0.25">
      <c r="G1752"/>
    </row>
    <row r="1753" spans="7:7" x14ac:dyDescent="0.25">
      <c r="G1753"/>
    </row>
    <row r="1754" spans="7:7" x14ac:dyDescent="0.25">
      <c r="G1754"/>
    </row>
    <row r="1755" spans="7:7" x14ac:dyDescent="0.25">
      <c r="G1755"/>
    </row>
    <row r="1756" spans="7:7" x14ac:dyDescent="0.25">
      <c r="G1756"/>
    </row>
    <row r="1757" spans="7:7" x14ac:dyDescent="0.25">
      <c r="G1757"/>
    </row>
    <row r="1758" spans="7:7" x14ac:dyDescent="0.25">
      <c r="G1758"/>
    </row>
    <row r="1759" spans="7:7" x14ac:dyDescent="0.25">
      <c r="G1759"/>
    </row>
    <row r="1760" spans="7:7" x14ac:dyDescent="0.25">
      <c r="G1760"/>
    </row>
    <row r="1761" spans="7:7" x14ac:dyDescent="0.25">
      <c r="G1761"/>
    </row>
    <row r="1762" spans="7:7" x14ac:dyDescent="0.25">
      <c r="G1762"/>
    </row>
    <row r="1763" spans="7:7" x14ac:dyDescent="0.25">
      <c r="G1763"/>
    </row>
    <row r="1764" spans="7:7" x14ac:dyDescent="0.25">
      <c r="G1764"/>
    </row>
    <row r="1765" spans="7:7" x14ac:dyDescent="0.25">
      <c r="G1765"/>
    </row>
    <row r="1766" spans="7:7" x14ac:dyDescent="0.25">
      <c r="G1766"/>
    </row>
    <row r="1767" spans="7:7" x14ac:dyDescent="0.25">
      <c r="G1767"/>
    </row>
    <row r="1768" spans="7:7" x14ac:dyDescent="0.25">
      <c r="G1768"/>
    </row>
    <row r="1769" spans="7:7" x14ac:dyDescent="0.25">
      <c r="G1769"/>
    </row>
    <row r="1770" spans="7:7" x14ac:dyDescent="0.25">
      <c r="G1770"/>
    </row>
    <row r="1771" spans="7:7" x14ac:dyDescent="0.25">
      <c r="G1771"/>
    </row>
    <row r="1772" spans="7:7" x14ac:dyDescent="0.25">
      <c r="G1772"/>
    </row>
    <row r="1773" spans="7:7" x14ac:dyDescent="0.25">
      <c r="G1773"/>
    </row>
    <row r="1774" spans="7:7" x14ac:dyDescent="0.25">
      <c r="G1774"/>
    </row>
    <row r="1775" spans="7:7" x14ac:dyDescent="0.25">
      <c r="G1775"/>
    </row>
    <row r="1776" spans="7:7" x14ac:dyDescent="0.25">
      <c r="G1776"/>
    </row>
    <row r="1777" spans="7:7" x14ac:dyDescent="0.25">
      <c r="G1777"/>
    </row>
    <row r="1778" spans="7:7" x14ac:dyDescent="0.25">
      <c r="G1778"/>
    </row>
    <row r="1779" spans="7:7" x14ac:dyDescent="0.25">
      <c r="G1779"/>
    </row>
    <row r="1780" spans="7:7" x14ac:dyDescent="0.25">
      <c r="G1780"/>
    </row>
    <row r="1781" spans="7:7" x14ac:dyDescent="0.25">
      <c r="G1781"/>
    </row>
    <row r="1782" spans="7:7" x14ac:dyDescent="0.25">
      <c r="G1782"/>
    </row>
    <row r="1783" spans="7:7" x14ac:dyDescent="0.25">
      <c r="G1783"/>
    </row>
    <row r="1784" spans="7:7" x14ac:dyDescent="0.25">
      <c r="G1784"/>
    </row>
    <row r="1785" spans="7:7" x14ac:dyDescent="0.25">
      <c r="G1785"/>
    </row>
    <row r="1786" spans="7:7" x14ac:dyDescent="0.25">
      <c r="G1786"/>
    </row>
    <row r="1787" spans="7:7" x14ac:dyDescent="0.25">
      <c r="G1787"/>
    </row>
    <row r="1788" spans="7:7" x14ac:dyDescent="0.25">
      <c r="G1788"/>
    </row>
    <row r="1789" spans="7:7" x14ac:dyDescent="0.25">
      <c r="G1789"/>
    </row>
    <row r="1790" spans="7:7" x14ac:dyDescent="0.25">
      <c r="G1790"/>
    </row>
    <row r="1791" spans="7:7" x14ac:dyDescent="0.25">
      <c r="G1791"/>
    </row>
    <row r="1792" spans="7:7" x14ac:dyDescent="0.25">
      <c r="G1792"/>
    </row>
    <row r="1793" spans="7:7" x14ac:dyDescent="0.25">
      <c r="G1793"/>
    </row>
    <row r="1794" spans="7:7" x14ac:dyDescent="0.25">
      <c r="G1794"/>
    </row>
    <row r="1795" spans="7:7" x14ac:dyDescent="0.25">
      <c r="G1795"/>
    </row>
    <row r="1796" spans="7:7" x14ac:dyDescent="0.25">
      <c r="G1796"/>
    </row>
    <row r="1797" spans="7:7" x14ac:dyDescent="0.25">
      <c r="G1797"/>
    </row>
    <row r="1798" spans="7:7" x14ac:dyDescent="0.25">
      <c r="G1798"/>
    </row>
    <row r="1799" spans="7:7" x14ac:dyDescent="0.25">
      <c r="G1799"/>
    </row>
    <row r="1800" spans="7:7" x14ac:dyDescent="0.25">
      <c r="G1800"/>
    </row>
    <row r="1801" spans="7:7" x14ac:dyDescent="0.25">
      <c r="G1801"/>
    </row>
    <row r="1802" spans="7:7" x14ac:dyDescent="0.25">
      <c r="G1802"/>
    </row>
    <row r="1803" spans="7:7" x14ac:dyDescent="0.25">
      <c r="G1803"/>
    </row>
    <row r="1804" spans="7:7" x14ac:dyDescent="0.25">
      <c r="G1804"/>
    </row>
    <row r="1805" spans="7:7" x14ac:dyDescent="0.25">
      <c r="G1805"/>
    </row>
    <row r="1806" spans="7:7" x14ac:dyDescent="0.25">
      <c r="G1806"/>
    </row>
    <row r="1807" spans="7:7" x14ac:dyDescent="0.25">
      <c r="G1807"/>
    </row>
    <row r="1808" spans="7:7" x14ac:dyDescent="0.25">
      <c r="G1808"/>
    </row>
    <row r="1809" spans="7:7" x14ac:dyDescent="0.25">
      <c r="G1809"/>
    </row>
    <row r="1810" spans="7:7" x14ac:dyDescent="0.25">
      <c r="G1810"/>
    </row>
    <row r="1811" spans="7:7" x14ac:dyDescent="0.25">
      <c r="G1811"/>
    </row>
    <row r="1812" spans="7:7" x14ac:dyDescent="0.25">
      <c r="G1812"/>
    </row>
    <row r="1813" spans="7:7" x14ac:dyDescent="0.25">
      <c r="G1813"/>
    </row>
    <row r="1814" spans="7:7" x14ac:dyDescent="0.25">
      <c r="G1814"/>
    </row>
    <row r="1815" spans="7:7" x14ac:dyDescent="0.25">
      <c r="G1815"/>
    </row>
    <row r="1816" spans="7:7" x14ac:dyDescent="0.25">
      <c r="G1816"/>
    </row>
    <row r="1817" spans="7:7" x14ac:dyDescent="0.25">
      <c r="G1817"/>
    </row>
    <row r="1818" spans="7:7" x14ac:dyDescent="0.25">
      <c r="G1818"/>
    </row>
    <row r="1819" spans="7:7" x14ac:dyDescent="0.25">
      <c r="G1819"/>
    </row>
    <row r="1820" spans="7:7" x14ac:dyDescent="0.25">
      <c r="G1820"/>
    </row>
    <row r="1821" spans="7:7" x14ac:dyDescent="0.25">
      <c r="G1821"/>
    </row>
    <row r="1822" spans="7:7" x14ac:dyDescent="0.25">
      <c r="G1822"/>
    </row>
    <row r="1823" spans="7:7" x14ac:dyDescent="0.25">
      <c r="G1823"/>
    </row>
    <row r="1824" spans="7:7" x14ac:dyDescent="0.25">
      <c r="G1824"/>
    </row>
    <row r="1825" spans="7:7" x14ac:dyDescent="0.25">
      <c r="G1825"/>
    </row>
    <row r="1826" spans="7:7" x14ac:dyDescent="0.25">
      <c r="G1826"/>
    </row>
    <row r="1827" spans="7:7" x14ac:dyDescent="0.25">
      <c r="G1827"/>
    </row>
    <row r="1828" spans="7:7" x14ac:dyDescent="0.25">
      <c r="G1828"/>
    </row>
    <row r="1829" spans="7:7" x14ac:dyDescent="0.25">
      <c r="G1829"/>
    </row>
    <row r="1830" spans="7:7" x14ac:dyDescent="0.25">
      <c r="G1830"/>
    </row>
    <row r="1831" spans="7:7" x14ac:dyDescent="0.25">
      <c r="G1831"/>
    </row>
    <row r="1832" spans="7:7" x14ac:dyDescent="0.25">
      <c r="G1832"/>
    </row>
    <row r="1833" spans="7:7" x14ac:dyDescent="0.25">
      <c r="G1833"/>
    </row>
    <row r="1834" spans="7:7" x14ac:dyDescent="0.25">
      <c r="G1834"/>
    </row>
    <row r="1835" spans="7:7" x14ac:dyDescent="0.25">
      <c r="G1835"/>
    </row>
    <row r="1836" spans="7:7" x14ac:dyDescent="0.25">
      <c r="G1836"/>
    </row>
    <row r="1837" spans="7:7" x14ac:dyDescent="0.25">
      <c r="G1837"/>
    </row>
    <row r="1838" spans="7:7" x14ac:dyDescent="0.25">
      <c r="G1838"/>
    </row>
    <row r="1839" spans="7:7" x14ac:dyDescent="0.25">
      <c r="G1839"/>
    </row>
    <row r="1840" spans="7:7" x14ac:dyDescent="0.25">
      <c r="G1840"/>
    </row>
    <row r="1841" spans="7:7" x14ac:dyDescent="0.25">
      <c r="G1841"/>
    </row>
    <row r="1842" spans="7:7" x14ac:dyDescent="0.25">
      <c r="G1842"/>
    </row>
    <row r="1843" spans="7:7" x14ac:dyDescent="0.25">
      <c r="G1843"/>
    </row>
    <row r="1844" spans="7:7" x14ac:dyDescent="0.25">
      <c r="G1844"/>
    </row>
    <row r="1845" spans="7:7" x14ac:dyDescent="0.25">
      <c r="G1845"/>
    </row>
    <row r="1846" spans="7:7" x14ac:dyDescent="0.25">
      <c r="G1846"/>
    </row>
    <row r="1847" spans="7:7" x14ac:dyDescent="0.25">
      <c r="G1847"/>
    </row>
    <row r="1848" spans="7:7" x14ac:dyDescent="0.25">
      <c r="G1848"/>
    </row>
    <row r="1849" spans="7:7" x14ac:dyDescent="0.25">
      <c r="G1849"/>
    </row>
    <row r="1850" spans="7:7" x14ac:dyDescent="0.25">
      <c r="G1850"/>
    </row>
    <row r="1851" spans="7:7" x14ac:dyDescent="0.25">
      <c r="G1851"/>
    </row>
    <row r="1852" spans="7:7" x14ac:dyDescent="0.25">
      <c r="G1852"/>
    </row>
    <row r="1853" spans="7:7" x14ac:dyDescent="0.25">
      <c r="G1853"/>
    </row>
    <row r="1854" spans="7:7" x14ac:dyDescent="0.25">
      <c r="G1854"/>
    </row>
    <row r="1855" spans="7:7" x14ac:dyDescent="0.25">
      <c r="G1855"/>
    </row>
    <row r="1856" spans="7:7" x14ac:dyDescent="0.25">
      <c r="G1856"/>
    </row>
    <row r="1857" spans="7:7" x14ac:dyDescent="0.25">
      <c r="G1857"/>
    </row>
    <row r="1858" spans="7:7" x14ac:dyDescent="0.25">
      <c r="G1858"/>
    </row>
    <row r="1859" spans="7:7" x14ac:dyDescent="0.25">
      <c r="G1859"/>
    </row>
    <row r="1860" spans="7:7" x14ac:dyDescent="0.25">
      <c r="G1860"/>
    </row>
    <row r="1861" spans="7:7" x14ac:dyDescent="0.25">
      <c r="G1861"/>
    </row>
    <row r="1862" spans="7:7" x14ac:dyDescent="0.25">
      <c r="G1862"/>
    </row>
    <row r="1863" spans="7:7" x14ac:dyDescent="0.25">
      <c r="G1863"/>
    </row>
    <row r="1864" spans="7:7" x14ac:dyDescent="0.25">
      <c r="G1864"/>
    </row>
    <row r="1865" spans="7:7" x14ac:dyDescent="0.25">
      <c r="G1865"/>
    </row>
    <row r="1866" spans="7:7" x14ac:dyDescent="0.25">
      <c r="G1866"/>
    </row>
    <row r="1867" spans="7:7" x14ac:dyDescent="0.25">
      <c r="G1867"/>
    </row>
    <row r="1868" spans="7:7" x14ac:dyDescent="0.25">
      <c r="G1868"/>
    </row>
    <row r="1869" spans="7:7" x14ac:dyDescent="0.25">
      <c r="G1869"/>
    </row>
    <row r="1870" spans="7:7" x14ac:dyDescent="0.25">
      <c r="G1870"/>
    </row>
    <row r="1871" spans="7:7" x14ac:dyDescent="0.25">
      <c r="G1871"/>
    </row>
    <row r="1872" spans="7:7" x14ac:dyDescent="0.25">
      <c r="G1872"/>
    </row>
    <row r="1873" spans="7:7" x14ac:dyDescent="0.25">
      <c r="G1873"/>
    </row>
    <row r="1874" spans="7:7" x14ac:dyDescent="0.25">
      <c r="G1874"/>
    </row>
    <row r="1875" spans="7:7" x14ac:dyDescent="0.25">
      <c r="G1875"/>
    </row>
    <row r="1876" spans="7:7" x14ac:dyDescent="0.25">
      <c r="G1876"/>
    </row>
    <row r="1877" spans="7:7" x14ac:dyDescent="0.25">
      <c r="G1877"/>
    </row>
    <row r="1878" spans="7:7" x14ac:dyDescent="0.25">
      <c r="G1878"/>
    </row>
    <row r="1879" spans="7:7" x14ac:dyDescent="0.25">
      <c r="G1879"/>
    </row>
    <row r="1880" spans="7:7" x14ac:dyDescent="0.25">
      <c r="G1880"/>
    </row>
    <row r="1881" spans="7:7" x14ac:dyDescent="0.25">
      <c r="G1881"/>
    </row>
    <row r="1882" spans="7:7" x14ac:dyDescent="0.25">
      <c r="G1882"/>
    </row>
    <row r="1883" spans="7:7" x14ac:dyDescent="0.25">
      <c r="G1883"/>
    </row>
    <row r="1884" spans="7:7" x14ac:dyDescent="0.25">
      <c r="G1884"/>
    </row>
    <row r="1885" spans="7:7" x14ac:dyDescent="0.25">
      <c r="G1885"/>
    </row>
    <row r="1886" spans="7:7" x14ac:dyDescent="0.25">
      <c r="G1886"/>
    </row>
    <row r="1887" spans="7:7" x14ac:dyDescent="0.25">
      <c r="G1887"/>
    </row>
    <row r="1888" spans="7:7" x14ac:dyDescent="0.25">
      <c r="G1888"/>
    </row>
    <row r="1889" spans="7:7" x14ac:dyDescent="0.25">
      <c r="G1889"/>
    </row>
    <row r="1890" spans="7:7" x14ac:dyDescent="0.25">
      <c r="G1890"/>
    </row>
    <row r="1891" spans="7:7" x14ac:dyDescent="0.25">
      <c r="G1891"/>
    </row>
    <row r="1892" spans="7:7" x14ac:dyDescent="0.25">
      <c r="G1892"/>
    </row>
    <row r="1893" spans="7:7" x14ac:dyDescent="0.25">
      <c r="G1893"/>
    </row>
    <row r="1894" spans="7:7" x14ac:dyDescent="0.25">
      <c r="G1894"/>
    </row>
    <row r="1895" spans="7:7" x14ac:dyDescent="0.25">
      <c r="G1895"/>
    </row>
    <row r="1896" spans="7:7" x14ac:dyDescent="0.25">
      <c r="G1896"/>
    </row>
    <row r="1897" spans="7:7" x14ac:dyDescent="0.25">
      <c r="G1897"/>
    </row>
    <row r="1898" spans="7:7" x14ac:dyDescent="0.25">
      <c r="G1898"/>
    </row>
    <row r="1899" spans="7:7" x14ac:dyDescent="0.25">
      <c r="G1899"/>
    </row>
    <row r="1900" spans="7:7" x14ac:dyDescent="0.25">
      <c r="G1900"/>
    </row>
    <row r="1901" spans="7:7" x14ac:dyDescent="0.25">
      <c r="G1901"/>
    </row>
    <row r="1902" spans="7:7" x14ac:dyDescent="0.25">
      <c r="G1902"/>
    </row>
    <row r="1903" spans="7:7" x14ac:dyDescent="0.25">
      <c r="G1903"/>
    </row>
    <row r="1904" spans="7:7" x14ac:dyDescent="0.25">
      <c r="G1904"/>
    </row>
    <row r="1905" spans="7:7" x14ac:dyDescent="0.25">
      <c r="G1905"/>
    </row>
    <row r="1906" spans="7:7" x14ac:dyDescent="0.25">
      <c r="G1906"/>
    </row>
    <row r="1907" spans="7:7" x14ac:dyDescent="0.25">
      <c r="G1907"/>
    </row>
    <row r="1908" spans="7:7" x14ac:dyDescent="0.25">
      <c r="G1908"/>
    </row>
    <row r="1909" spans="7:7" x14ac:dyDescent="0.25">
      <c r="G1909"/>
    </row>
    <row r="1910" spans="7:7" x14ac:dyDescent="0.25">
      <c r="G1910"/>
    </row>
    <row r="1911" spans="7:7" x14ac:dyDescent="0.25">
      <c r="G1911"/>
    </row>
    <row r="1912" spans="7:7" x14ac:dyDescent="0.25">
      <c r="G1912"/>
    </row>
    <row r="1913" spans="7:7" x14ac:dyDescent="0.25">
      <c r="G1913"/>
    </row>
    <row r="1914" spans="7:7" x14ac:dyDescent="0.25">
      <c r="G1914"/>
    </row>
    <row r="1915" spans="7:7" x14ac:dyDescent="0.25">
      <c r="G1915"/>
    </row>
    <row r="1916" spans="7:7" x14ac:dyDescent="0.25">
      <c r="G1916"/>
    </row>
    <row r="1917" spans="7:7" x14ac:dyDescent="0.25">
      <c r="G1917"/>
    </row>
    <row r="1918" spans="7:7" x14ac:dyDescent="0.25">
      <c r="G1918"/>
    </row>
    <row r="1919" spans="7:7" x14ac:dyDescent="0.25">
      <c r="G1919"/>
    </row>
    <row r="1920" spans="7:7" x14ac:dyDescent="0.25">
      <c r="G1920"/>
    </row>
    <row r="1921" spans="7:7" x14ac:dyDescent="0.25">
      <c r="G1921"/>
    </row>
    <row r="1922" spans="7:7" x14ac:dyDescent="0.25">
      <c r="G1922"/>
    </row>
    <row r="1923" spans="7:7" x14ac:dyDescent="0.25">
      <c r="G1923"/>
    </row>
    <row r="1924" spans="7:7" x14ac:dyDescent="0.25">
      <c r="G1924"/>
    </row>
    <row r="1925" spans="7:7" x14ac:dyDescent="0.25">
      <c r="G1925"/>
    </row>
    <row r="1926" spans="7:7" x14ac:dyDescent="0.25">
      <c r="G1926"/>
    </row>
    <row r="1927" spans="7:7" x14ac:dyDescent="0.25">
      <c r="G1927"/>
    </row>
    <row r="1928" spans="7:7" x14ac:dyDescent="0.25">
      <c r="G1928"/>
    </row>
    <row r="1929" spans="7:7" x14ac:dyDescent="0.25">
      <c r="G1929"/>
    </row>
    <row r="1930" spans="7:7" x14ac:dyDescent="0.25">
      <c r="G1930"/>
    </row>
    <row r="1931" spans="7:7" x14ac:dyDescent="0.25">
      <c r="G1931"/>
    </row>
    <row r="1932" spans="7:7" x14ac:dyDescent="0.25">
      <c r="G1932"/>
    </row>
    <row r="1933" spans="7:7" x14ac:dyDescent="0.25">
      <c r="G1933"/>
    </row>
    <row r="1934" spans="7:7" x14ac:dyDescent="0.25">
      <c r="G1934"/>
    </row>
    <row r="1935" spans="7:7" x14ac:dyDescent="0.25">
      <c r="G1935"/>
    </row>
    <row r="1936" spans="7:7" x14ac:dyDescent="0.25">
      <c r="G1936"/>
    </row>
    <row r="1937" spans="7:7" x14ac:dyDescent="0.25">
      <c r="G1937"/>
    </row>
    <row r="1938" spans="7:7" x14ac:dyDescent="0.25">
      <c r="G1938"/>
    </row>
    <row r="1939" spans="7:7" x14ac:dyDescent="0.25">
      <c r="G1939"/>
    </row>
    <row r="1940" spans="7:7" x14ac:dyDescent="0.25">
      <c r="G1940"/>
    </row>
    <row r="1941" spans="7:7" x14ac:dyDescent="0.25">
      <c r="G1941"/>
    </row>
    <row r="1942" spans="7:7" x14ac:dyDescent="0.25">
      <c r="G1942"/>
    </row>
    <row r="1943" spans="7:7" x14ac:dyDescent="0.25">
      <c r="G1943"/>
    </row>
    <row r="1944" spans="7:7" x14ac:dyDescent="0.25">
      <c r="G1944"/>
    </row>
    <row r="1945" spans="7:7" x14ac:dyDescent="0.25">
      <c r="G1945"/>
    </row>
    <row r="1946" spans="7:7" x14ac:dyDescent="0.25">
      <c r="G1946"/>
    </row>
    <row r="1947" spans="7:7" x14ac:dyDescent="0.25">
      <c r="G1947"/>
    </row>
    <row r="1948" spans="7:7" x14ac:dyDescent="0.25">
      <c r="G1948"/>
    </row>
    <row r="1949" spans="7:7" x14ac:dyDescent="0.25">
      <c r="G1949"/>
    </row>
    <row r="1950" spans="7:7" x14ac:dyDescent="0.25">
      <c r="G1950"/>
    </row>
    <row r="1951" spans="7:7" x14ac:dyDescent="0.25">
      <c r="G1951"/>
    </row>
    <row r="1952" spans="7:7" x14ac:dyDescent="0.25">
      <c r="G1952"/>
    </row>
    <row r="1953" spans="7:7" x14ac:dyDescent="0.25">
      <c r="G1953"/>
    </row>
    <row r="1954" spans="7:7" x14ac:dyDescent="0.25">
      <c r="G1954"/>
    </row>
    <row r="1955" spans="7:7" x14ac:dyDescent="0.25">
      <c r="G1955"/>
    </row>
    <row r="1956" spans="7:7" x14ac:dyDescent="0.25">
      <c r="G1956"/>
    </row>
    <row r="1957" spans="7:7" x14ac:dyDescent="0.25">
      <c r="G1957"/>
    </row>
    <row r="1958" spans="7:7" x14ac:dyDescent="0.25">
      <c r="G1958"/>
    </row>
    <row r="1959" spans="7:7" x14ac:dyDescent="0.25">
      <c r="G1959"/>
    </row>
    <row r="1960" spans="7:7" x14ac:dyDescent="0.25">
      <c r="G1960"/>
    </row>
    <row r="1961" spans="7:7" x14ac:dyDescent="0.25">
      <c r="G1961"/>
    </row>
    <row r="1962" spans="7:7" x14ac:dyDescent="0.25">
      <c r="G1962"/>
    </row>
    <row r="1963" spans="7:7" x14ac:dyDescent="0.25">
      <c r="G1963"/>
    </row>
    <row r="1964" spans="7:7" x14ac:dyDescent="0.25">
      <c r="G1964"/>
    </row>
    <row r="1965" spans="7:7" x14ac:dyDescent="0.25">
      <c r="G1965"/>
    </row>
    <row r="1966" spans="7:7" x14ac:dyDescent="0.25">
      <c r="G1966"/>
    </row>
    <row r="1967" spans="7:7" x14ac:dyDescent="0.25">
      <c r="G1967"/>
    </row>
    <row r="1968" spans="7:7" x14ac:dyDescent="0.25">
      <c r="G1968"/>
    </row>
    <row r="1969" spans="7:7" x14ac:dyDescent="0.25">
      <c r="G1969"/>
    </row>
    <row r="1970" spans="7:7" x14ac:dyDescent="0.25">
      <c r="G1970"/>
    </row>
    <row r="1971" spans="7:7" x14ac:dyDescent="0.25">
      <c r="G1971"/>
    </row>
    <row r="1972" spans="7:7" x14ac:dyDescent="0.25">
      <c r="G1972"/>
    </row>
    <row r="1973" spans="7:7" x14ac:dyDescent="0.25">
      <c r="G1973"/>
    </row>
    <row r="1974" spans="7:7" x14ac:dyDescent="0.25">
      <c r="G1974"/>
    </row>
    <row r="1975" spans="7:7" x14ac:dyDescent="0.25">
      <c r="G1975"/>
    </row>
    <row r="1976" spans="7:7" x14ac:dyDescent="0.25">
      <c r="G1976"/>
    </row>
    <row r="1977" spans="7:7" x14ac:dyDescent="0.25">
      <c r="G1977"/>
    </row>
    <row r="1978" spans="7:7" x14ac:dyDescent="0.25">
      <c r="G1978"/>
    </row>
    <row r="1979" spans="7:7" x14ac:dyDescent="0.25">
      <c r="G1979"/>
    </row>
    <row r="1980" spans="7:7" x14ac:dyDescent="0.25">
      <c r="G1980"/>
    </row>
    <row r="1981" spans="7:7" x14ac:dyDescent="0.25">
      <c r="G1981"/>
    </row>
    <row r="1982" spans="7:7" x14ac:dyDescent="0.25">
      <c r="G1982"/>
    </row>
    <row r="1983" spans="7:7" x14ac:dyDescent="0.25">
      <c r="G1983"/>
    </row>
    <row r="1984" spans="7:7" x14ac:dyDescent="0.25">
      <c r="G1984"/>
    </row>
    <row r="1985" spans="7:7" x14ac:dyDescent="0.25">
      <c r="G1985"/>
    </row>
    <row r="1986" spans="7:7" x14ac:dyDescent="0.25">
      <c r="G1986"/>
    </row>
    <row r="1987" spans="7:7" x14ac:dyDescent="0.25">
      <c r="G1987"/>
    </row>
    <row r="1988" spans="7:7" x14ac:dyDescent="0.25">
      <c r="G1988"/>
    </row>
    <row r="1989" spans="7:7" x14ac:dyDescent="0.25">
      <c r="G1989"/>
    </row>
    <row r="1990" spans="7:7" x14ac:dyDescent="0.25">
      <c r="G1990"/>
    </row>
    <row r="1991" spans="7:7" x14ac:dyDescent="0.25">
      <c r="G1991"/>
    </row>
    <row r="1992" spans="7:7" x14ac:dyDescent="0.25">
      <c r="G1992"/>
    </row>
    <row r="1993" spans="7:7" x14ac:dyDescent="0.25">
      <c r="G1993"/>
    </row>
    <row r="1994" spans="7:7" x14ac:dyDescent="0.25">
      <c r="G1994"/>
    </row>
    <row r="1995" spans="7:7" x14ac:dyDescent="0.25">
      <c r="G1995"/>
    </row>
    <row r="1996" spans="7:7" x14ac:dyDescent="0.25">
      <c r="G1996"/>
    </row>
    <row r="1997" spans="7:7" x14ac:dyDescent="0.25">
      <c r="G1997"/>
    </row>
    <row r="1998" spans="7:7" x14ac:dyDescent="0.25">
      <c r="G1998"/>
    </row>
    <row r="1999" spans="7:7" x14ac:dyDescent="0.25">
      <c r="G1999"/>
    </row>
    <row r="2000" spans="7:7" x14ac:dyDescent="0.25">
      <c r="G2000"/>
    </row>
    <row r="2001" spans="1:11" x14ac:dyDescent="0.25">
      <c r="G2001"/>
    </row>
    <row r="2002" spans="1:11" s="3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x14ac:dyDescent="0.25">
      <c r="G2003"/>
    </row>
    <row r="2004" spans="1:11" x14ac:dyDescent="0.25">
      <c r="G2004"/>
    </row>
    <row r="2005" spans="1:11" x14ac:dyDescent="0.25">
      <c r="G2005"/>
    </row>
    <row r="2006" spans="1:11" x14ac:dyDescent="0.25">
      <c r="G2006"/>
    </row>
    <row r="2007" spans="1:11" x14ac:dyDescent="0.25">
      <c r="G2007"/>
    </row>
    <row r="2008" spans="1:11" x14ac:dyDescent="0.25">
      <c r="G2008"/>
    </row>
    <row r="2009" spans="1:11" x14ac:dyDescent="0.25">
      <c r="G2009"/>
    </row>
    <row r="2010" spans="1:11" x14ac:dyDescent="0.25">
      <c r="G2010"/>
    </row>
    <row r="2011" spans="1:11" x14ac:dyDescent="0.25">
      <c r="G2011"/>
    </row>
    <row r="2012" spans="1:11" x14ac:dyDescent="0.25">
      <c r="G2012"/>
    </row>
    <row r="2013" spans="1:11" x14ac:dyDescent="0.25">
      <c r="G2013"/>
    </row>
    <row r="2014" spans="1:11" x14ac:dyDescent="0.25">
      <c r="G2014"/>
    </row>
    <row r="2015" spans="1:11" x14ac:dyDescent="0.25">
      <c r="G2015"/>
    </row>
    <row r="2016" spans="1:11" x14ac:dyDescent="0.25">
      <c r="G2016"/>
    </row>
    <row r="2017" spans="7:7" x14ac:dyDescent="0.25">
      <c r="G2017"/>
    </row>
    <row r="2018" spans="7:7" x14ac:dyDescent="0.25">
      <c r="G2018"/>
    </row>
    <row r="2019" spans="7:7" x14ac:dyDescent="0.25">
      <c r="G2019"/>
    </row>
    <row r="2020" spans="7:7" x14ac:dyDescent="0.25">
      <c r="G2020"/>
    </row>
    <row r="2021" spans="7:7" x14ac:dyDescent="0.25">
      <c r="G2021"/>
    </row>
    <row r="2022" spans="7:7" x14ac:dyDescent="0.25">
      <c r="G2022"/>
    </row>
    <row r="2023" spans="7:7" x14ac:dyDescent="0.25">
      <c r="G2023"/>
    </row>
    <row r="2024" spans="7:7" x14ac:dyDescent="0.25">
      <c r="G2024"/>
    </row>
    <row r="2025" spans="7:7" x14ac:dyDescent="0.25">
      <c r="G2025"/>
    </row>
    <row r="2026" spans="7:7" x14ac:dyDescent="0.25">
      <c r="G2026"/>
    </row>
    <row r="2027" spans="7:7" x14ac:dyDescent="0.25">
      <c r="G2027"/>
    </row>
    <row r="2028" spans="7:7" x14ac:dyDescent="0.25">
      <c r="G2028"/>
    </row>
    <row r="2029" spans="7:7" x14ac:dyDescent="0.25">
      <c r="G2029"/>
    </row>
    <row r="2030" spans="7:7" x14ac:dyDescent="0.25">
      <c r="G2030"/>
    </row>
    <row r="2031" spans="7:7" x14ac:dyDescent="0.25">
      <c r="G2031"/>
    </row>
    <row r="2032" spans="7:7" x14ac:dyDescent="0.25">
      <c r="G2032"/>
    </row>
    <row r="2033" spans="7:7" x14ac:dyDescent="0.25">
      <c r="G2033"/>
    </row>
    <row r="2034" spans="7:7" x14ac:dyDescent="0.25">
      <c r="G2034"/>
    </row>
    <row r="2035" spans="7:7" x14ac:dyDescent="0.25">
      <c r="G2035"/>
    </row>
    <row r="2036" spans="7:7" x14ac:dyDescent="0.25">
      <c r="G2036"/>
    </row>
    <row r="2037" spans="7:7" x14ac:dyDescent="0.25">
      <c r="G2037"/>
    </row>
    <row r="2038" spans="7:7" x14ac:dyDescent="0.25">
      <c r="G2038"/>
    </row>
    <row r="2039" spans="7:7" x14ac:dyDescent="0.25">
      <c r="G2039"/>
    </row>
    <row r="2040" spans="7:7" x14ac:dyDescent="0.25">
      <c r="G2040"/>
    </row>
    <row r="2041" spans="7:7" x14ac:dyDescent="0.25">
      <c r="G2041"/>
    </row>
    <row r="2042" spans="7:7" x14ac:dyDescent="0.25">
      <c r="G2042"/>
    </row>
    <row r="2043" spans="7:7" x14ac:dyDescent="0.25">
      <c r="G2043"/>
    </row>
    <row r="2044" spans="7:7" x14ac:dyDescent="0.25">
      <c r="G2044"/>
    </row>
    <row r="2045" spans="7:7" x14ac:dyDescent="0.25">
      <c r="G2045"/>
    </row>
    <row r="2046" spans="7:7" x14ac:dyDescent="0.25">
      <c r="G2046"/>
    </row>
    <row r="2047" spans="7:7" x14ac:dyDescent="0.25">
      <c r="G2047"/>
    </row>
    <row r="2048" spans="7:7" x14ac:dyDescent="0.25">
      <c r="G2048"/>
    </row>
    <row r="2049" spans="7:7" x14ac:dyDescent="0.25">
      <c r="G2049"/>
    </row>
    <row r="2050" spans="7:7" x14ac:dyDescent="0.25">
      <c r="G2050"/>
    </row>
    <row r="2051" spans="7:7" x14ac:dyDescent="0.25">
      <c r="G2051"/>
    </row>
    <row r="2052" spans="7:7" x14ac:dyDescent="0.25">
      <c r="G2052"/>
    </row>
    <row r="2053" spans="7:7" x14ac:dyDescent="0.25">
      <c r="G2053"/>
    </row>
    <row r="2054" spans="7:7" x14ac:dyDescent="0.25">
      <c r="G2054"/>
    </row>
    <row r="2055" spans="7:7" x14ac:dyDescent="0.25">
      <c r="G2055"/>
    </row>
    <row r="2056" spans="7:7" x14ac:dyDescent="0.25">
      <c r="G2056"/>
    </row>
    <row r="2057" spans="7:7" x14ac:dyDescent="0.25">
      <c r="G2057"/>
    </row>
    <row r="2058" spans="7:7" x14ac:dyDescent="0.25">
      <c r="G2058"/>
    </row>
    <row r="2059" spans="7:7" x14ac:dyDescent="0.25">
      <c r="G2059"/>
    </row>
    <row r="2060" spans="7:7" x14ac:dyDescent="0.25">
      <c r="G2060"/>
    </row>
    <row r="2061" spans="7:7" x14ac:dyDescent="0.25">
      <c r="G2061"/>
    </row>
    <row r="2062" spans="7:7" x14ac:dyDescent="0.25">
      <c r="G2062"/>
    </row>
    <row r="2063" spans="7:7" x14ac:dyDescent="0.25">
      <c r="G2063"/>
    </row>
    <row r="2064" spans="7:7" x14ac:dyDescent="0.25">
      <c r="G2064"/>
    </row>
    <row r="2065" spans="7:7" x14ac:dyDescent="0.25">
      <c r="G2065"/>
    </row>
    <row r="2066" spans="7:7" x14ac:dyDescent="0.25">
      <c r="G2066"/>
    </row>
    <row r="2067" spans="7:7" x14ac:dyDescent="0.25">
      <c r="G2067"/>
    </row>
    <row r="2068" spans="7:7" x14ac:dyDescent="0.25">
      <c r="G2068"/>
    </row>
    <row r="2069" spans="7:7" x14ac:dyDescent="0.25">
      <c r="G2069"/>
    </row>
    <row r="2070" spans="7:7" x14ac:dyDescent="0.25">
      <c r="G2070"/>
    </row>
    <row r="2071" spans="7:7" x14ac:dyDescent="0.25">
      <c r="G2071"/>
    </row>
    <row r="2072" spans="7:7" x14ac:dyDescent="0.25">
      <c r="G2072"/>
    </row>
    <row r="2073" spans="7:7" x14ac:dyDescent="0.25">
      <c r="G2073"/>
    </row>
    <row r="2074" spans="7:7" x14ac:dyDescent="0.25">
      <c r="G2074"/>
    </row>
    <row r="2075" spans="7:7" x14ac:dyDescent="0.25">
      <c r="G2075"/>
    </row>
    <row r="2076" spans="7:7" x14ac:dyDescent="0.25">
      <c r="G2076"/>
    </row>
    <row r="2077" spans="7:7" x14ac:dyDescent="0.25">
      <c r="G2077"/>
    </row>
    <row r="2078" spans="7:7" x14ac:dyDescent="0.25">
      <c r="G2078"/>
    </row>
    <row r="2079" spans="7:7" x14ac:dyDescent="0.25">
      <c r="G2079"/>
    </row>
    <row r="2080" spans="7:7" x14ac:dyDescent="0.25">
      <c r="G2080"/>
    </row>
    <row r="2081" spans="7:7" x14ac:dyDescent="0.25">
      <c r="G2081"/>
    </row>
    <row r="2082" spans="7:7" x14ac:dyDescent="0.25">
      <c r="G2082"/>
    </row>
    <row r="2083" spans="7:7" x14ac:dyDescent="0.25">
      <c r="G2083"/>
    </row>
    <row r="2084" spans="7:7" x14ac:dyDescent="0.25">
      <c r="G2084"/>
    </row>
    <row r="2085" spans="7:7" x14ac:dyDescent="0.25">
      <c r="G2085"/>
    </row>
    <row r="2086" spans="7:7" x14ac:dyDescent="0.25">
      <c r="G2086"/>
    </row>
    <row r="2087" spans="7:7" x14ac:dyDescent="0.25">
      <c r="G2087"/>
    </row>
    <row r="2088" spans="7:7" x14ac:dyDescent="0.25">
      <c r="G2088"/>
    </row>
    <row r="2089" spans="7:7" x14ac:dyDescent="0.25">
      <c r="G2089"/>
    </row>
    <row r="2090" spans="7:7" x14ac:dyDescent="0.25">
      <c r="G2090"/>
    </row>
    <row r="2091" spans="7:7" x14ac:dyDescent="0.25">
      <c r="G2091"/>
    </row>
    <row r="2092" spans="7:7" x14ac:dyDescent="0.25">
      <c r="G2092"/>
    </row>
    <row r="2093" spans="7:7" x14ac:dyDescent="0.25">
      <c r="G2093"/>
    </row>
    <row r="2094" spans="7:7" x14ac:dyDescent="0.25">
      <c r="G2094"/>
    </row>
    <row r="2095" spans="7:7" x14ac:dyDescent="0.25">
      <c r="G2095"/>
    </row>
    <row r="2096" spans="7:7" x14ac:dyDescent="0.25">
      <c r="G2096"/>
    </row>
    <row r="2097" spans="7:7" x14ac:dyDescent="0.25">
      <c r="G2097"/>
    </row>
    <row r="2098" spans="7:7" x14ac:dyDescent="0.25">
      <c r="G2098"/>
    </row>
    <row r="2099" spans="7:7" x14ac:dyDescent="0.25">
      <c r="G2099"/>
    </row>
    <row r="2100" spans="7:7" x14ac:dyDescent="0.25">
      <c r="G2100"/>
    </row>
    <row r="2101" spans="7:7" x14ac:dyDescent="0.25">
      <c r="G2101"/>
    </row>
    <row r="2102" spans="7:7" x14ac:dyDescent="0.25">
      <c r="G2102"/>
    </row>
    <row r="2103" spans="7:7" x14ac:dyDescent="0.25">
      <c r="G2103"/>
    </row>
    <row r="2104" spans="7:7" x14ac:dyDescent="0.25">
      <c r="G2104"/>
    </row>
    <row r="2105" spans="7:7" x14ac:dyDescent="0.25">
      <c r="G2105"/>
    </row>
    <row r="2106" spans="7:7" x14ac:dyDescent="0.25">
      <c r="G2106"/>
    </row>
    <row r="2107" spans="7:7" x14ac:dyDescent="0.25">
      <c r="G2107"/>
    </row>
    <row r="2108" spans="7:7" x14ac:dyDescent="0.25">
      <c r="G2108"/>
    </row>
    <row r="2109" spans="7:7" x14ac:dyDescent="0.25">
      <c r="G2109"/>
    </row>
    <row r="2110" spans="7:7" x14ac:dyDescent="0.25">
      <c r="G2110"/>
    </row>
    <row r="2111" spans="7:7" x14ac:dyDescent="0.25">
      <c r="G2111"/>
    </row>
    <row r="2112" spans="7:7" x14ac:dyDescent="0.25">
      <c r="G2112"/>
    </row>
    <row r="2113" spans="7:7" x14ac:dyDescent="0.25">
      <c r="G2113"/>
    </row>
    <row r="2114" spans="7:7" x14ac:dyDescent="0.25">
      <c r="G2114"/>
    </row>
    <row r="2115" spans="7:7" x14ac:dyDescent="0.25">
      <c r="G2115"/>
    </row>
    <row r="2116" spans="7:7" x14ac:dyDescent="0.25">
      <c r="G2116"/>
    </row>
    <row r="2117" spans="7:7" x14ac:dyDescent="0.25">
      <c r="G2117"/>
    </row>
    <row r="2118" spans="7:7" x14ac:dyDescent="0.25">
      <c r="G2118"/>
    </row>
    <row r="2119" spans="7:7" x14ac:dyDescent="0.25">
      <c r="G2119"/>
    </row>
    <row r="2120" spans="7:7" x14ac:dyDescent="0.25">
      <c r="G2120"/>
    </row>
    <row r="2121" spans="7:7" x14ac:dyDescent="0.25">
      <c r="G2121"/>
    </row>
    <row r="2122" spans="7:7" x14ac:dyDescent="0.25">
      <c r="G2122"/>
    </row>
    <row r="2123" spans="7:7" x14ac:dyDescent="0.25">
      <c r="G2123"/>
    </row>
    <row r="2124" spans="7:7" x14ac:dyDescent="0.25">
      <c r="G2124"/>
    </row>
    <row r="2125" spans="7:7" x14ac:dyDescent="0.25">
      <c r="G2125"/>
    </row>
    <row r="2126" spans="7:7" x14ac:dyDescent="0.25">
      <c r="G2126"/>
    </row>
    <row r="2127" spans="7:7" x14ac:dyDescent="0.25">
      <c r="G2127"/>
    </row>
    <row r="2128" spans="7:7" x14ac:dyDescent="0.25">
      <c r="G2128"/>
    </row>
    <row r="2129" spans="7:7" x14ac:dyDescent="0.25">
      <c r="G2129"/>
    </row>
    <row r="2130" spans="7:7" x14ac:dyDescent="0.25">
      <c r="G2130"/>
    </row>
    <row r="2131" spans="7:7" x14ac:dyDescent="0.25">
      <c r="G2131"/>
    </row>
    <row r="2132" spans="7:7" x14ac:dyDescent="0.25">
      <c r="G2132"/>
    </row>
    <row r="2133" spans="7:7" x14ac:dyDescent="0.25">
      <c r="G2133"/>
    </row>
    <row r="2134" spans="7:7" x14ac:dyDescent="0.25">
      <c r="G2134"/>
    </row>
    <row r="2135" spans="7:7" x14ac:dyDescent="0.25">
      <c r="G2135"/>
    </row>
    <row r="2136" spans="7:7" x14ac:dyDescent="0.25">
      <c r="G2136"/>
    </row>
    <row r="2137" spans="7:7" x14ac:dyDescent="0.25">
      <c r="G2137"/>
    </row>
    <row r="2138" spans="7:7" x14ac:dyDescent="0.25">
      <c r="G2138"/>
    </row>
    <row r="2139" spans="7:7" x14ac:dyDescent="0.25">
      <c r="G2139"/>
    </row>
    <row r="2140" spans="7:7" x14ac:dyDescent="0.25">
      <c r="G2140"/>
    </row>
    <row r="2141" spans="7:7" x14ac:dyDescent="0.25">
      <c r="G2141"/>
    </row>
    <row r="2142" spans="7:7" x14ac:dyDescent="0.25">
      <c r="G2142"/>
    </row>
    <row r="2143" spans="7:7" x14ac:dyDescent="0.25">
      <c r="G2143"/>
    </row>
    <row r="2144" spans="7:7" x14ac:dyDescent="0.25">
      <c r="G2144"/>
    </row>
    <row r="2145" spans="7:7" x14ac:dyDescent="0.25">
      <c r="G2145"/>
    </row>
    <row r="2146" spans="7:7" x14ac:dyDescent="0.25">
      <c r="G2146"/>
    </row>
    <row r="2147" spans="7:7" x14ac:dyDescent="0.25">
      <c r="G2147"/>
    </row>
    <row r="2148" spans="7:7" x14ac:dyDescent="0.25">
      <c r="G2148"/>
    </row>
    <row r="2149" spans="7:7" x14ac:dyDescent="0.25">
      <c r="G2149"/>
    </row>
    <row r="2150" spans="7:7" x14ac:dyDescent="0.25">
      <c r="G2150"/>
    </row>
    <row r="2151" spans="7:7" x14ac:dyDescent="0.25">
      <c r="G2151"/>
    </row>
    <row r="2152" spans="7:7" x14ac:dyDescent="0.25">
      <c r="G2152"/>
    </row>
    <row r="2153" spans="7:7" x14ac:dyDescent="0.25">
      <c r="G2153"/>
    </row>
    <row r="2154" spans="7:7" x14ac:dyDescent="0.25">
      <c r="G2154"/>
    </row>
    <row r="2155" spans="7:7" x14ac:dyDescent="0.25">
      <c r="G2155"/>
    </row>
    <row r="2156" spans="7:7" x14ac:dyDescent="0.25">
      <c r="G2156"/>
    </row>
    <row r="2157" spans="7:7" x14ac:dyDescent="0.25">
      <c r="G2157"/>
    </row>
    <row r="2158" spans="7:7" x14ac:dyDescent="0.25">
      <c r="G2158"/>
    </row>
    <row r="2159" spans="7:7" x14ac:dyDescent="0.25">
      <c r="G2159"/>
    </row>
    <row r="2160" spans="7:7" x14ac:dyDescent="0.25">
      <c r="G2160"/>
    </row>
    <row r="2161" spans="7:7" x14ac:dyDescent="0.25">
      <c r="G2161"/>
    </row>
    <row r="2162" spans="7:7" x14ac:dyDescent="0.25">
      <c r="G2162"/>
    </row>
    <row r="2163" spans="7:7" x14ac:dyDescent="0.25">
      <c r="G2163"/>
    </row>
    <row r="2164" spans="7:7" x14ac:dyDescent="0.25">
      <c r="G2164"/>
    </row>
    <row r="2165" spans="7:7" x14ac:dyDescent="0.25">
      <c r="G2165"/>
    </row>
    <row r="2166" spans="7:7" x14ac:dyDescent="0.25">
      <c r="G2166"/>
    </row>
    <row r="2167" spans="7:7" x14ac:dyDescent="0.25">
      <c r="G2167"/>
    </row>
    <row r="2168" spans="7:7" x14ac:dyDescent="0.25">
      <c r="G2168"/>
    </row>
    <row r="2169" spans="7:7" x14ac:dyDescent="0.25">
      <c r="G2169"/>
    </row>
    <row r="2170" spans="7:7" x14ac:dyDescent="0.25">
      <c r="G2170"/>
    </row>
    <row r="2171" spans="7:7" x14ac:dyDescent="0.25">
      <c r="G2171"/>
    </row>
    <row r="2172" spans="7:7" x14ac:dyDescent="0.25">
      <c r="G2172"/>
    </row>
    <row r="2173" spans="7:7" x14ac:dyDescent="0.25">
      <c r="G2173"/>
    </row>
    <row r="2174" spans="7:7" x14ac:dyDescent="0.25">
      <c r="G2174"/>
    </row>
    <row r="2175" spans="7:7" x14ac:dyDescent="0.25">
      <c r="G2175"/>
    </row>
    <row r="2176" spans="7:7" x14ac:dyDescent="0.25">
      <c r="G2176"/>
    </row>
    <row r="2177" spans="7:7" x14ac:dyDescent="0.25">
      <c r="G2177"/>
    </row>
    <row r="2178" spans="7:7" x14ac:dyDescent="0.25">
      <c r="G2178"/>
    </row>
    <row r="2179" spans="7:7" x14ac:dyDescent="0.25">
      <c r="G2179"/>
    </row>
    <row r="2180" spans="7:7" x14ac:dyDescent="0.25">
      <c r="G2180"/>
    </row>
    <row r="2181" spans="7:7" x14ac:dyDescent="0.25">
      <c r="G2181"/>
    </row>
    <row r="2182" spans="7:7" x14ac:dyDescent="0.25">
      <c r="G2182"/>
    </row>
    <row r="2183" spans="7:7" x14ac:dyDescent="0.25">
      <c r="G2183"/>
    </row>
    <row r="2184" spans="7:7" x14ac:dyDescent="0.25">
      <c r="G2184"/>
    </row>
    <row r="2185" spans="7:7" x14ac:dyDescent="0.25">
      <c r="G2185"/>
    </row>
    <row r="2186" spans="7:7" x14ac:dyDescent="0.25">
      <c r="G2186"/>
    </row>
    <row r="2187" spans="7:7" x14ac:dyDescent="0.25">
      <c r="G2187"/>
    </row>
    <row r="2188" spans="7:7" x14ac:dyDescent="0.25">
      <c r="G2188"/>
    </row>
    <row r="2189" spans="7:7" x14ac:dyDescent="0.25">
      <c r="G2189"/>
    </row>
    <row r="2190" spans="7:7" x14ac:dyDescent="0.25">
      <c r="G2190"/>
    </row>
    <row r="2191" spans="7:7" x14ac:dyDescent="0.25">
      <c r="G2191"/>
    </row>
    <row r="2192" spans="7:7" x14ac:dyDescent="0.25">
      <c r="G2192"/>
    </row>
    <row r="2193" spans="7:7" x14ac:dyDescent="0.25">
      <c r="G2193"/>
    </row>
    <row r="2194" spans="7:7" x14ac:dyDescent="0.25">
      <c r="G2194"/>
    </row>
    <row r="2195" spans="7:7" x14ac:dyDescent="0.25">
      <c r="G2195"/>
    </row>
    <row r="2196" spans="7:7" x14ac:dyDescent="0.25">
      <c r="G2196"/>
    </row>
    <row r="2197" spans="7:7" x14ac:dyDescent="0.25">
      <c r="G2197"/>
    </row>
    <row r="2198" spans="7:7" x14ac:dyDescent="0.25">
      <c r="G2198"/>
    </row>
    <row r="2199" spans="7:7" x14ac:dyDescent="0.25">
      <c r="G2199"/>
    </row>
    <row r="2200" spans="7:7" x14ac:dyDescent="0.25">
      <c r="G2200"/>
    </row>
    <row r="2201" spans="7:7" x14ac:dyDescent="0.25">
      <c r="G2201"/>
    </row>
    <row r="2202" spans="7:7" x14ac:dyDescent="0.25">
      <c r="G2202"/>
    </row>
    <row r="2203" spans="7:7" x14ac:dyDescent="0.25">
      <c r="G2203"/>
    </row>
    <row r="2204" spans="7:7" x14ac:dyDescent="0.25">
      <c r="G2204"/>
    </row>
    <row r="2205" spans="7:7" x14ac:dyDescent="0.25">
      <c r="G2205"/>
    </row>
    <row r="2206" spans="7:7" x14ac:dyDescent="0.25">
      <c r="G2206"/>
    </row>
    <row r="2207" spans="7:7" x14ac:dyDescent="0.25">
      <c r="G2207"/>
    </row>
    <row r="2208" spans="7:7" x14ac:dyDescent="0.25">
      <c r="G2208"/>
    </row>
    <row r="2209" spans="7:7" x14ac:dyDescent="0.25">
      <c r="G2209"/>
    </row>
    <row r="2210" spans="7:7" x14ac:dyDescent="0.25">
      <c r="G2210"/>
    </row>
    <row r="2211" spans="7:7" x14ac:dyDescent="0.25">
      <c r="G2211"/>
    </row>
    <row r="2212" spans="7:7" x14ac:dyDescent="0.25">
      <c r="G2212"/>
    </row>
    <row r="2213" spans="7:7" x14ac:dyDescent="0.25">
      <c r="G2213"/>
    </row>
    <row r="2214" spans="7:7" x14ac:dyDescent="0.25">
      <c r="G2214"/>
    </row>
    <row r="2215" spans="7:7" x14ac:dyDescent="0.25">
      <c r="G2215"/>
    </row>
    <row r="2216" spans="7:7" x14ac:dyDescent="0.25">
      <c r="G2216"/>
    </row>
    <row r="2217" spans="7:7" x14ac:dyDescent="0.25">
      <c r="G2217"/>
    </row>
    <row r="2218" spans="7:7" x14ac:dyDescent="0.25">
      <c r="G2218"/>
    </row>
    <row r="2219" spans="7:7" x14ac:dyDescent="0.25">
      <c r="G2219"/>
    </row>
    <row r="2220" spans="7:7" x14ac:dyDescent="0.25">
      <c r="G2220"/>
    </row>
    <row r="2221" spans="7:7" x14ac:dyDescent="0.25">
      <c r="G2221"/>
    </row>
    <row r="2222" spans="7:7" x14ac:dyDescent="0.25">
      <c r="G2222"/>
    </row>
    <row r="2223" spans="7:7" x14ac:dyDescent="0.25">
      <c r="G2223"/>
    </row>
    <row r="2224" spans="7:7" x14ac:dyDescent="0.25">
      <c r="G2224"/>
    </row>
    <row r="2225" spans="7:7" x14ac:dyDescent="0.25">
      <c r="G2225"/>
    </row>
    <row r="2226" spans="7:7" x14ac:dyDescent="0.25">
      <c r="G2226"/>
    </row>
    <row r="2227" spans="7:7" x14ac:dyDescent="0.25">
      <c r="G2227"/>
    </row>
    <row r="2228" spans="7:7" x14ac:dyDescent="0.25">
      <c r="G2228"/>
    </row>
    <row r="2229" spans="7:7" x14ac:dyDescent="0.25">
      <c r="G2229"/>
    </row>
    <row r="2230" spans="7:7" x14ac:dyDescent="0.25">
      <c r="G2230"/>
    </row>
    <row r="2231" spans="7:7" x14ac:dyDescent="0.25">
      <c r="G2231"/>
    </row>
    <row r="2232" spans="7:7" x14ac:dyDescent="0.25">
      <c r="G2232"/>
    </row>
    <row r="2233" spans="7:7" x14ac:dyDescent="0.25">
      <c r="G2233"/>
    </row>
    <row r="2234" spans="7:7" x14ac:dyDescent="0.25">
      <c r="G2234"/>
    </row>
    <row r="2235" spans="7:7" x14ac:dyDescent="0.25">
      <c r="G2235"/>
    </row>
    <row r="2236" spans="7:7" x14ac:dyDescent="0.25">
      <c r="G2236"/>
    </row>
    <row r="2237" spans="7:7" x14ac:dyDescent="0.25">
      <c r="G2237"/>
    </row>
    <row r="2238" spans="7:7" x14ac:dyDescent="0.25">
      <c r="G2238"/>
    </row>
    <row r="2239" spans="7:7" x14ac:dyDescent="0.25">
      <c r="G2239"/>
    </row>
    <row r="2240" spans="7:7" x14ac:dyDescent="0.25">
      <c r="G2240"/>
    </row>
    <row r="2241" spans="7:7" x14ac:dyDescent="0.25">
      <c r="G2241"/>
    </row>
    <row r="2242" spans="7:7" x14ac:dyDescent="0.25">
      <c r="G2242"/>
    </row>
    <row r="2243" spans="7:7" x14ac:dyDescent="0.25">
      <c r="G2243"/>
    </row>
    <row r="2244" spans="7:7" x14ac:dyDescent="0.25">
      <c r="G2244"/>
    </row>
    <row r="2245" spans="7:7" x14ac:dyDescent="0.25">
      <c r="G2245"/>
    </row>
    <row r="2246" spans="7:7" x14ac:dyDescent="0.25">
      <c r="G2246"/>
    </row>
    <row r="2247" spans="7:7" x14ac:dyDescent="0.25">
      <c r="G2247"/>
    </row>
    <row r="2248" spans="7:7" x14ac:dyDescent="0.25">
      <c r="G2248"/>
    </row>
    <row r="2249" spans="7:7" x14ac:dyDescent="0.25">
      <c r="G2249"/>
    </row>
    <row r="2250" spans="7:7" x14ac:dyDescent="0.25">
      <c r="G2250"/>
    </row>
    <row r="2251" spans="7:7" x14ac:dyDescent="0.25">
      <c r="G2251"/>
    </row>
    <row r="2252" spans="7:7" x14ac:dyDescent="0.25">
      <c r="G2252"/>
    </row>
    <row r="2253" spans="7:7" x14ac:dyDescent="0.25">
      <c r="G2253"/>
    </row>
    <row r="2254" spans="7:7" x14ac:dyDescent="0.25">
      <c r="G2254"/>
    </row>
    <row r="2255" spans="7:7" x14ac:dyDescent="0.25">
      <c r="G2255"/>
    </row>
    <row r="2256" spans="7:7" x14ac:dyDescent="0.25">
      <c r="G2256"/>
    </row>
    <row r="2257" spans="7:7" x14ac:dyDescent="0.25">
      <c r="G2257"/>
    </row>
    <row r="2258" spans="7:7" x14ac:dyDescent="0.25">
      <c r="G2258"/>
    </row>
    <row r="2259" spans="7:7" x14ac:dyDescent="0.25">
      <c r="G2259"/>
    </row>
    <row r="2260" spans="7:7" x14ac:dyDescent="0.25">
      <c r="G2260"/>
    </row>
    <row r="2261" spans="7:7" x14ac:dyDescent="0.25">
      <c r="G2261"/>
    </row>
    <row r="2262" spans="7:7" x14ac:dyDescent="0.25">
      <c r="G2262"/>
    </row>
    <row r="2263" spans="7:7" x14ac:dyDescent="0.25">
      <c r="G2263"/>
    </row>
    <row r="2264" spans="7:7" x14ac:dyDescent="0.25">
      <c r="G2264"/>
    </row>
    <row r="2265" spans="7:7" x14ac:dyDescent="0.25">
      <c r="G2265"/>
    </row>
    <row r="2266" spans="7:7" x14ac:dyDescent="0.25">
      <c r="G2266"/>
    </row>
    <row r="2267" spans="7:7" x14ac:dyDescent="0.25">
      <c r="G2267"/>
    </row>
    <row r="2268" spans="7:7" x14ac:dyDescent="0.25">
      <c r="G2268"/>
    </row>
    <row r="2269" spans="7:7" x14ac:dyDescent="0.25">
      <c r="G2269"/>
    </row>
    <row r="2270" spans="7:7" x14ac:dyDescent="0.25">
      <c r="G2270"/>
    </row>
    <row r="2271" spans="7:7" x14ac:dyDescent="0.25">
      <c r="G2271"/>
    </row>
    <row r="2272" spans="7:7" x14ac:dyDescent="0.25">
      <c r="G2272"/>
    </row>
    <row r="2273" spans="7:7" x14ac:dyDescent="0.25">
      <c r="G2273"/>
    </row>
    <row r="2274" spans="7:7" x14ac:dyDescent="0.25">
      <c r="G2274"/>
    </row>
    <row r="2275" spans="7:7" x14ac:dyDescent="0.25">
      <c r="G2275"/>
    </row>
    <row r="2276" spans="7:7" x14ac:dyDescent="0.25">
      <c r="G2276"/>
    </row>
    <row r="2277" spans="7:7" x14ac:dyDescent="0.25">
      <c r="G2277"/>
    </row>
    <row r="2278" spans="7:7" x14ac:dyDescent="0.25">
      <c r="G2278"/>
    </row>
    <row r="2279" spans="7:7" x14ac:dyDescent="0.25">
      <c r="G2279"/>
    </row>
    <row r="2280" spans="7:7" x14ac:dyDescent="0.25">
      <c r="G2280"/>
    </row>
    <row r="2281" spans="7:7" x14ac:dyDescent="0.25">
      <c r="G2281"/>
    </row>
    <row r="2282" spans="7:7" x14ac:dyDescent="0.25">
      <c r="G2282"/>
    </row>
    <row r="2283" spans="7:7" x14ac:dyDescent="0.25">
      <c r="G2283"/>
    </row>
    <row r="2284" spans="7:7" x14ac:dyDescent="0.25">
      <c r="G2284"/>
    </row>
    <row r="2285" spans="7:7" x14ac:dyDescent="0.25">
      <c r="G2285"/>
    </row>
    <row r="2286" spans="7:7" x14ac:dyDescent="0.25">
      <c r="G2286"/>
    </row>
    <row r="2287" spans="7:7" x14ac:dyDescent="0.25">
      <c r="G2287"/>
    </row>
    <row r="2288" spans="7:7" x14ac:dyDescent="0.25">
      <c r="G2288"/>
    </row>
    <row r="2289" spans="7:7" x14ac:dyDescent="0.25">
      <c r="G2289"/>
    </row>
    <row r="2290" spans="7:7" x14ac:dyDescent="0.25">
      <c r="G2290"/>
    </row>
    <row r="2291" spans="7:7" x14ac:dyDescent="0.25">
      <c r="G2291"/>
    </row>
    <row r="2292" spans="7:7" x14ac:dyDescent="0.25">
      <c r="G2292"/>
    </row>
    <row r="2293" spans="7:7" x14ac:dyDescent="0.25">
      <c r="G2293"/>
    </row>
    <row r="2294" spans="7:7" x14ac:dyDescent="0.25">
      <c r="G2294"/>
    </row>
    <row r="2295" spans="7:7" x14ac:dyDescent="0.25">
      <c r="G2295"/>
    </row>
    <row r="2296" spans="7:7" x14ac:dyDescent="0.25">
      <c r="G2296"/>
    </row>
    <row r="2297" spans="7:7" x14ac:dyDescent="0.25">
      <c r="G2297"/>
    </row>
    <row r="2298" spans="7:7" x14ac:dyDescent="0.25">
      <c r="G2298"/>
    </row>
    <row r="2299" spans="7:7" x14ac:dyDescent="0.25">
      <c r="G2299"/>
    </row>
    <row r="2300" spans="7:7" x14ac:dyDescent="0.25">
      <c r="G2300"/>
    </row>
    <row r="2301" spans="7:7" x14ac:dyDescent="0.25">
      <c r="G2301"/>
    </row>
    <row r="2302" spans="7:7" x14ac:dyDescent="0.25">
      <c r="G2302"/>
    </row>
    <row r="2303" spans="7:7" x14ac:dyDescent="0.25">
      <c r="G2303"/>
    </row>
    <row r="2304" spans="7:7" x14ac:dyDescent="0.25">
      <c r="G2304"/>
    </row>
    <row r="2305" spans="7:7" x14ac:dyDescent="0.25">
      <c r="G2305"/>
    </row>
    <row r="2306" spans="7:7" x14ac:dyDescent="0.25">
      <c r="G2306"/>
    </row>
    <row r="2307" spans="7:7" x14ac:dyDescent="0.25">
      <c r="G2307"/>
    </row>
    <row r="2308" spans="7:7" x14ac:dyDescent="0.25">
      <c r="G2308"/>
    </row>
    <row r="2309" spans="7:7" x14ac:dyDescent="0.25">
      <c r="G2309"/>
    </row>
    <row r="2310" spans="7:7" x14ac:dyDescent="0.25">
      <c r="G2310"/>
    </row>
    <row r="2311" spans="7:7" x14ac:dyDescent="0.25">
      <c r="G2311"/>
    </row>
    <row r="2312" spans="7:7" x14ac:dyDescent="0.25">
      <c r="G2312"/>
    </row>
    <row r="2313" spans="7:7" x14ac:dyDescent="0.25">
      <c r="G2313"/>
    </row>
    <row r="2314" spans="7:7" x14ac:dyDescent="0.25">
      <c r="G2314"/>
    </row>
    <row r="2315" spans="7:7" x14ac:dyDescent="0.25">
      <c r="G2315"/>
    </row>
    <row r="2316" spans="7:7" x14ac:dyDescent="0.25">
      <c r="G2316"/>
    </row>
    <row r="2317" spans="7:7" x14ac:dyDescent="0.25">
      <c r="G2317"/>
    </row>
    <row r="2318" spans="7:7" x14ac:dyDescent="0.25">
      <c r="G2318"/>
    </row>
    <row r="2319" spans="7:7" x14ac:dyDescent="0.25">
      <c r="G2319"/>
    </row>
    <row r="2320" spans="7:7" x14ac:dyDescent="0.25">
      <c r="G2320"/>
    </row>
    <row r="2321" spans="7:7" x14ac:dyDescent="0.25">
      <c r="G2321"/>
    </row>
    <row r="2322" spans="7:7" x14ac:dyDescent="0.25">
      <c r="G2322"/>
    </row>
    <row r="2323" spans="7:7" x14ac:dyDescent="0.25">
      <c r="G2323"/>
    </row>
    <row r="2324" spans="7:7" x14ac:dyDescent="0.25">
      <c r="G2324"/>
    </row>
    <row r="2325" spans="7:7" x14ac:dyDescent="0.25">
      <c r="G2325"/>
    </row>
    <row r="2326" spans="7:7" x14ac:dyDescent="0.25">
      <c r="G2326"/>
    </row>
    <row r="2327" spans="7:7" x14ac:dyDescent="0.25">
      <c r="G2327"/>
    </row>
    <row r="2328" spans="7:7" x14ac:dyDescent="0.25">
      <c r="G2328"/>
    </row>
    <row r="2329" spans="7:7" x14ac:dyDescent="0.25">
      <c r="G2329"/>
    </row>
    <row r="2330" spans="7:7" x14ac:dyDescent="0.25">
      <c r="G2330"/>
    </row>
    <row r="2331" spans="7:7" x14ac:dyDescent="0.25">
      <c r="G2331"/>
    </row>
    <row r="2332" spans="7:7" x14ac:dyDescent="0.25">
      <c r="G2332"/>
    </row>
    <row r="2333" spans="7:7" x14ac:dyDescent="0.25">
      <c r="G2333"/>
    </row>
    <row r="2334" spans="7:7" x14ac:dyDescent="0.25">
      <c r="G2334"/>
    </row>
    <row r="2335" spans="7:7" x14ac:dyDescent="0.25">
      <c r="G2335"/>
    </row>
    <row r="2336" spans="7:7" x14ac:dyDescent="0.25">
      <c r="G2336"/>
    </row>
    <row r="2337" spans="7:7" x14ac:dyDescent="0.25">
      <c r="G2337"/>
    </row>
    <row r="2338" spans="7:7" x14ac:dyDescent="0.25">
      <c r="G2338"/>
    </row>
    <row r="2339" spans="7:7" x14ac:dyDescent="0.25">
      <c r="G2339"/>
    </row>
    <row r="2340" spans="7:7" x14ac:dyDescent="0.25">
      <c r="G2340"/>
    </row>
    <row r="2341" spans="7:7" x14ac:dyDescent="0.25">
      <c r="G2341"/>
    </row>
    <row r="2342" spans="7:7" x14ac:dyDescent="0.25">
      <c r="G2342"/>
    </row>
    <row r="2343" spans="7:7" x14ac:dyDescent="0.25">
      <c r="G2343"/>
    </row>
    <row r="2344" spans="7:7" x14ac:dyDescent="0.25">
      <c r="G2344"/>
    </row>
    <row r="2345" spans="7:7" x14ac:dyDescent="0.25">
      <c r="G2345"/>
    </row>
    <row r="2346" spans="7:7" x14ac:dyDescent="0.25">
      <c r="G2346"/>
    </row>
    <row r="2347" spans="7:7" x14ac:dyDescent="0.25">
      <c r="G2347"/>
    </row>
    <row r="2348" spans="7:7" x14ac:dyDescent="0.25">
      <c r="G2348"/>
    </row>
    <row r="2349" spans="7:7" x14ac:dyDescent="0.25">
      <c r="G2349"/>
    </row>
    <row r="2350" spans="7:7" x14ac:dyDescent="0.25">
      <c r="G2350"/>
    </row>
    <row r="2351" spans="7:7" x14ac:dyDescent="0.25">
      <c r="G2351"/>
    </row>
    <row r="2352" spans="7:7" x14ac:dyDescent="0.25">
      <c r="G2352"/>
    </row>
    <row r="2353" spans="7:7" x14ac:dyDescent="0.25">
      <c r="G2353"/>
    </row>
    <row r="2354" spans="7:7" x14ac:dyDescent="0.25">
      <c r="G2354"/>
    </row>
    <row r="2355" spans="7:7" x14ac:dyDescent="0.25">
      <c r="G2355"/>
    </row>
    <row r="2356" spans="7:7" x14ac:dyDescent="0.25">
      <c r="G2356"/>
    </row>
    <row r="2357" spans="7:7" x14ac:dyDescent="0.25">
      <c r="G2357"/>
    </row>
    <row r="2358" spans="7:7" x14ac:dyDescent="0.25">
      <c r="G2358"/>
    </row>
    <row r="2359" spans="7:7" x14ac:dyDescent="0.25">
      <c r="G2359"/>
    </row>
    <row r="2360" spans="7:7" x14ac:dyDescent="0.25">
      <c r="G2360"/>
    </row>
    <row r="2361" spans="7:7" x14ac:dyDescent="0.25">
      <c r="G2361"/>
    </row>
    <row r="2362" spans="7:7" x14ac:dyDescent="0.25">
      <c r="G2362"/>
    </row>
    <row r="2363" spans="7:7" x14ac:dyDescent="0.25">
      <c r="G2363"/>
    </row>
    <row r="2364" spans="7:7" x14ac:dyDescent="0.25">
      <c r="G2364"/>
    </row>
    <row r="2365" spans="7:7" x14ac:dyDescent="0.25">
      <c r="G2365"/>
    </row>
    <row r="2366" spans="7:7" x14ac:dyDescent="0.25">
      <c r="G2366"/>
    </row>
    <row r="2367" spans="7:7" x14ac:dyDescent="0.25">
      <c r="G2367"/>
    </row>
    <row r="2368" spans="7:7" x14ac:dyDescent="0.25">
      <c r="G2368"/>
    </row>
    <row r="2369" spans="7:7" x14ac:dyDescent="0.25">
      <c r="G2369"/>
    </row>
    <row r="2370" spans="7:7" x14ac:dyDescent="0.25">
      <c r="G2370"/>
    </row>
    <row r="2371" spans="7:7" x14ac:dyDescent="0.25">
      <c r="G2371"/>
    </row>
    <row r="2372" spans="7:7" x14ac:dyDescent="0.25">
      <c r="G2372"/>
    </row>
    <row r="2373" spans="7:7" x14ac:dyDescent="0.25">
      <c r="G2373"/>
    </row>
    <row r="2374" spans="7:7" x14ac:dyDescent="0.25">
      <c r="G2374"/>
    </row>
    <row r="2375" spans="7:7" x14ac:dyDescent="0.25">
      <c r="G2375"/>
    </row>
    <row r="2376" spans="7:7" x14ac:dyDescent="0.25">
      <c r="G2376"/>
    </row>
    <row r="2377" spans="7:7" x14ac:dyDescent="0.25">
      <c r="G2377"/>
    </row>
    <row r="2378" spans="7:7" x14ac:dyDescent="0.25">
      <c r="G2378"/>
    </row>
    <row r="2379" spans="7:7" x14ac:dyDescent="0.25">
      <c r="G2379"/>
    </row>
    <row r="2380" spans="7:7" x14ac:dyDescent="0.25">
      <c r="G2380"/>
    </row>
    <row r="2381" spans="7:7" x14ac:dyDescent="0.25">
      <c r="G2381"/>
    </row>
    <row r="2382" spans="7:7" x14ac:dyDescent="0.25">
      <c r="G2382"/>
    </row>
    <row r="2383" spans="7:7" x14ac:dyDescent="0.25">
      <c r="G2383"/>
    </row>
    <row r="2384" spans="7:7" x14ac:dyDescent="0.25">
      <c r="G2384"/>
    </row>
    <row r="2385" spans="7:7" x14ac:dyDescent="0.25">
      <c r="G2385"/>
    </row>
    <row r="2386" spans="7:7" x14ac:dyDescent="0.25">
      <c r="G2386"/>
    </row>
    <row r="2387" spans="7:7" x14ac:dyDescent="0.25">
      <c r="G2387"/>
    </row>
    <row r="2388" spans="7:7" x14ac:dyDescent="0.25">
      <c r="G2388"/>
    </row>
    <row r="2389" spans="7:7" x14ac:dyDescent="0.25">
      <c r="G2389"/>
    </row>
    <row r="2390" spans="7:7" x14ac:dyDescent="0.25">
      <c r="G2390"/>
    </row>
    <row r="2391" spans="7:7" x14ac:dyDescent="0.25">
      <c r="G2391"/>
    </row>
    <row r="2392" spans="7:7" x14ac:dyDescent="0.25">
      <c r="G2392"/>
    </row>
    <row r="2393" spans="7:7" x14ac:dyDescent="0.25">
      <c r="G2393"/>
    </row>
    <row r="2394" spans="7:7" x14ac:dyDescent="0.25">
      <c r="G2394"/>
    </row>
    <row r="2395" spans="7:7" x14ac:dyDescent="0.25">
      <c r="G2395"/>
    </row>
    <row r="2396" spans="7:7" x14ac:dyDescent="0.25">
      <c r="G2396"/>
    </row>
    <row r="2397" spans="7:7" x14ac:dyDescent="0.25">
      <c r="G2397"/>
    </row>
    <row r="2398" spans="7:7" x14ac:dyDescent="0.25">
      <c r="G2398"/>
    </row>
    <row r="2399" spans="7:7" x14ac:dyDescent="0.25">
      <c r="G2399"/>
    </row>
    <row r="2400" spans="7:7" x14ac:dyDescent="0.25">
      <c r="G2400"/>
    </row>
    <row r="2401" spans="7:7" x14ac:dyDescent="0.25">
      <c r="G2401"/>
    </row>
    <row r="2402" spans="7:7" x14ac:dyDescent="0.25">
      <c r="G2402"/>
    </row>
    <row r="2403" spans="7:7" x14ac:dyDescent="0.25">
      <c r="G2403"/>
    </row>
    <row r="2404" spans="7:7" x14ac:dyDescent="0.25">
      <c r="G2404"/>
    </row>
    <row r="2405" spans="7:7" x14ac:dyDescent="0.25">
      <c r="G2405"/>
    </row>
    <row r="2406" spans="7:7" x14ac:dyDescent="0.25">
      <c r="G2406"/>
    </row>
    <row r="2407" spans="7:7" x14ac:dyDescent="0.25">
      <c r="G2407"/>
    </row>
    <row r="2408" spans="7:7" x14ac:dyDescent="0.25">
      <c r="G2408"/>
    </row>
    <row r="2409" spans="7:7" x14ac:dyDescent="0.25">
      <c r="G2409"/>
    </row>
    <row r="2410" spans="7:7" x14ac:dyDescent="0.25">
      <c r="G2410"/>
    </row>
    <row r="2411" spans="7:7" x14ac:dyDescent="0.25">
      <c r="G2411"/>
    </row>
    <row r="2412" spans="7:7" x14ac:dyDescent="0.25">
      <c r="G2412"/>
    </row>
    <row r="2413" spans="7:7" x14ac:dyDescent="0.25">
      <c r="G2413"/>
    </row>
    <row r="2414" spans="7:7" x14ac:dyDescent="0.25">
      <c r="G2414"/>
    </row>
    <row r="2415" spans="7:7" x14ac:dyDescent="0.25">
      <c r="G2415"/>
    </row>
    <row r="2416" spans="7:7" x14ac:dyDescent="0.25">
      <c r="G2416"/>
    </row>
    <row r="2417" spans="7:7" x14ac:dyDescent="0.25">
      <c r="G2417"/>
    </row>
    <row r="2418" spans="7:7" x14ac:dyDescent="0.25">
      <c r="G2418"/>
    </row>
    <row r="2419" spans="7:7" x14ac:dyDescent="0.25">
      <c r="G2419"/>
    </row>
    <row r="2420" spans="7:7" x14ac:dyDescent="0.25">
      <c r="G2420"/>
    </row>
    <row r="2421" spans="7:7" x14ac:dyDescent="0.25">
      <c r="G2421"/>
    </row>
    <row r="2422" spans="7:7" x14ac:dyDescent="0.25">
      <c r="G2422"/>
    </row>
    <row r="2423" spans="7:7" x14ac:dyDescent="0.25">
      <c r="G2423"/>
    </row>
    <row r="2424" spans="7:7" x14ac:dyDescent="0.25">
      <c r="G2424"/>
    </row>
    <row r="2425" spans="7:7" x14ac:dyDescent="0.25">
      <c r="G2425"/>
    </row>
    <row r="2426" spans="7:7" x14ac:dyDescent="0.25">
      <c r="G2426"/>
    </row>
    <row r="2427" spans="7:7" x14ac:dyDescent="0.25">
      <c r="G2427"/>
    </row>
    <row r="2428" spans="7:7" x14ac:dyDescent="0.25">
      <c r="G2428"/>
    </row>
    <row r="2429" spans="7:7" x14ac:dyDescent="0.25">
      <c r="G2429"/>
    </row>
    <row r="2430" spans="7:7" x14ac:dyDescent="0.25">
      <c r="G2430"/>
    </row>
    <row r="2431" spans="7:7" x14ac:dyDescent="0.25">
      <c r="G2431"/>
    </row>
    <row r="2432" spans="7:7" x14ac:dyDescent="0.25">
      <c r="G2432"/>
    </row>
    <row r="2433" spans="7:7" x14ac:dyDescent="0.25">
      <c r="G2433"/>
    </row>
    <row r="2434" spans="7:7" x14ac:dyDescent="0.25">
      <c r="G2434"/>
    </row>
    <row r="2435" spans="7:7" x14ac:dyDescent="0.25">
      <c r="G2435"/>
    </row>
    <row r="2436" spans="7:7" x14ac:dyDescent="0.25">
      <c r="G2436"/>
    </row>
    <row r="2437" spans="7:7" x14ac:dyDescent="0.25">
      <c r="G2437"/>
    </row>
    <row r="2438" spans="7:7" x14ac:dyDescent="0.25">
      <c r="G2438"/>
    </row>
    <row r="2439" spans="7:7" x14ac:dyDescent="0.25">
      <c r="G2439"/>
    </row>
    <row r="2440" spans="7:7" x14ac:dyDescent="0.25">
      <c r="G2440"/>
    </row>
    <row r="2441" spans="7:7" x14ac:dyDescent="0.25">
      <c r="G2441"/>
    </row>
    <row r="2442" spans="7:7" x14ac:dyDescent="0.25">
      <c r="G2442"/>
    </row>
    <row r="2443" spans="7:7" x14ac:dyDescent="0.25">
      <c r="G2443"/>
    </row>
    <row r="2444" spans="7:7" x14ac:dyDescent="0.25">
      <c r="G2444"/>
    </row>
    <row r="2445" spans="7:7" x14ac:dyDescent="0.25">
      <c r="G2445"/>
    </row>
    <row r="2446" spans="7:7" x14ac:dyDescent="0.25">
      <c r="G2446"/>
    </row>
    <row r="2447" spans="7:7" x14ac:dyDescent="0.25">
      <c r="G2447"/>
    </row>
    <row r="2448" spans="7:7" x14ac:dyDescent="0.25">
      <c r="G2448"/>
    </row>
    <row r="2449" spans="7:7" x14ac:dyDescent="0.25">
      <c r="G2449"/>
    </row>
    <row r="2450" spans="7:7" x14ac:dyDescent="0.25">
      <c r="G2450"/>
    </row>
    <row r="2451" spans="7:7" x14ac:dyDescent="0.25">
      <c r="G2451"/>
    </row>
    <row r="2452" spans="7:7" x14ac:dyDescent="0.25">
      <c r="G2452"/>
    </row>
    <row r="2453" spans="7:7" x14ac:dyDescent="0.25">
      <c r="G2453"/>
    </row>
    <row r="2454" spans="7:7" x14ac:dyDescent="0.25">
      <c r="G2454"/>
    </row>
    <row r="2455" spans="7:7" x14ac:dyDescent="0.25">
      <c r="G2455"/>
    </row>
    <row r="2456" spans="7:7" x14ac:dyDescent="0.25">
      <c r="G2456"/>
    </row>
    <row r="2457" spans="7:7" x14ac:dyDescent="0.25">
      <c r="G2457"/>
    </row>
    <row r="2458" spans="7:7" x14ac:dyDescent="0.25">
      <c r="G2458"/>
    </row>
    <row r="2459" spans="7:7" x14ac:dyDescent="0.25">
      <c r="G2459"/>
    </row>
    <row r="2460" spans="7:7" x14ac:dyDescent="0.25">
      <c r="G2460"/>
    </row>
    <row r="2461" spans="7:7" x14ac:dyDescent="0.25">
      <c r="G2461"/>
    </row>
    <row r="2462" spans="7:7" x14ac:dyDescent="0.25">
      <c r="G2462"/>
    </row>
    <row r="2463" spans="7:7" x14ac:dyDescent="0.25">
      <c r="G2463"/>
    </row>
    <row r="2464" spans="7:7" x14ac:dyDescent="0.25">
      <c r="G2464"/>
    </row>
    <row r="2465" spans="7:7" x14ac:dyDescent="0.25">
      <c r="G2465"/>
    </row>
    <row r="2466" spans="7:7" x14ac:dyDescent="0.25">
      <c r="G2466"/>
    </row>
    <row r="2467" spans="7:7" x14ac:dyDescent="0.25">
      <c r="G2467"/>
    </row>
    <row r="2468" spans="7:7" x14ac:dyDescent="0.25">
      <c r="G2468"/>
    </row>
    <row r="2469" spans="7:7" x14ac:dyDescent="0.25">
      <c r="G2469"/>
    </row>
    <row r="2470" spans="7:7" x14ac:dyDescent="0.25">
      <c r="G2470"/>
    </row>
    <row r="2471" spans="7:7" x14ac:dyDescent="0.25">
      <c r="G2471"/>
    </row>
    <row r="2472" spans="7:7" x14ac:dyDescent="0.25">
      <c r="G2472"/>
    </row>
    <row r="2473" spans="7:7" x14ac:dyDescent="0.25">
      <c r="G2473"/>
    </row>
    <row r="2474" spans="7:7" x14ac:dyDescent="0.25">
      <c r="G2474"/>
    </row>
    <row r="2475" spans="7:7" x14ac:dyDescent="0.25">
      <c r="G2475"/>
    </row>
    <row r="2476" spans="7:7" x14ac:dyDescent="0.25">
      <c r="G2476"/>
    </row>
    <row r="2477" spans="7:7" x14ac:dyDescent="0.25">
      <c r="G2477"/>
    </row>
    <row r="2478" spans="7:7" x14ac:dyDescent="0.25">
      <c r="G2478"/>
    </row>
    <row r="2479" spans="7:7" x14ac:dyDescent="0.25">
      <c r="G2479"/>
    </row>
    <row r="2480" spans="7:7" x14ac:dyDescent="0.25">
      <c r="G2480"/>
    </row>
    <row r="2481" spans="7:7" x14ac:dyDescent="0.25">
      <c r="G2481"/>
    </row>
    <row r="2482" spans="7:7" x14ac:dyDescent="0.25">
      <c r="G2482"/>
    </row>
    <row r="2483" spans="7:7" x14ac:dyDescent="0.25">
      <c r="G2483"/>
    </row>
    <row r="2484" spans="7:7" x14ac:dyDescent="0.25">
      <c r="G2484"/>
    </row>
    <row r="2485" spans="7:7" x14ac:dyDescent="0.25">
      <c r="G2485"/>
    </row>
    <row r="2486" spans="7:7" x14ac:dyDescent="0.25">
      <c r="G2486"/>
    </row>
    <row r="2487" spans="7:7" x14ac:dyDescent="0.25">
      <c r="G2487"/>
    </row>
    <row r="2488" spans="7:7" x14ac:dyDescent="0.25">
      <c r="G2488"/>
    </row>
    <row r="2489" spans="7:7" x14ac:dyDescent="0.25">
      <c r="G2489"/>
    </row>
    <row r="2490" spans="7:7" x14ac:dyDescent="0.25">
      <c r="G2490"/>
    </row>
    <row r="2491" spans="7:7" x14ac:dyDescent="0.25">
      <c r="G2491"/>
    </row>
    <row r="2492" spans="7:7" x14ac:dyDescent="0.25">
      <c r="G2492"/>
    </row>
    <row r="2493" spans="7:7" x14ac:dyDescent="0.25">
      <c r="G2493"/>
    </row>
    <row r="2494" spans="7:7" x14ac:dyDescent="0.25">
      <c r="G2494"/>
    </row>
    <row r="2495" spans="7:7" x14ac:dyDescent="0.25">
      <c r="G2495"/>
    </row>
    <row r="2496" spans="7:7" x14ac:dyDescent="0.25">
      <c r="G2496"/>
    </row>
    <row r="2497" spans="1:11" x14ac:dyDescent="0.25">
      <c r="G2497"/>
    </row>
    <row r="2498" spans="1:11" x14ac:dyDescent="0.25">
      <c r="G2498"/>
    </row>
    <row r="2499" spans="1:11" x14ac:dyDescent="0.25">
      <c r="G2499"/>
    </row>
    <row r="2500" spans="1:11" x14ac:dyDescent="0.25">
      <c r="G2500"/>
    </row>
    <row r="2501" spans="1:11" x14ac:dyDescent="0.25">
      <c r="G2501"/>
    </row>
    <row r="2502" spans="1:11" s="3" customFormat="1" x14ac:dyDescent="0.25">
      <c r="A2502"/>
      <c r="B2502"/>
      <c r="C2502"/>
      <c r="D2502"/>
      <c r="E2502"/>
      <c r="F2502"/>
      <c r="G2502"/>
      <c r="H2502"/>
      <c r="I2502"/>
      <c r="J2502"/>
      <c r="K2502"/>
    </row>
    <row r="2503" spans="1:11" x14ac:dyDescent="0.25">
      <c r="G2503"/>
    </row>
    <row r="2504" spans="1:11" x14ac:dyDescent="0.25">
      <c r="G2504"/>
    </row>
    <row r="2505" spans="1:11" x14ac:dyDescent="0.25">
      <c r="G2505"/>
    </row>
    <row r="2506" spans="1:11" x14ac:dyDescent="0.25">
      <c r="G2506"/>
    </row>
    <row r="2507" spans="1:11" x14ac:dyDescent="0.25">
      <c r="G2507"/>
    </row>
    <row r="2508" spans="1:11" x14ac:dyDescent="0.25">
      <c r="G2508"/>
    </row>
    <row r="2509" spans="1:11" x14ac:dyDescent="0.25">
      <c r="G2509"/>
    </row>
    <row r="2510" spans="1:11" x14ac:dyDescent="0.25">
      <c r="G2510"/>
    </row>
    <row r="2511" spans="1:11" x14ac:dyDescent="0.25">
      <c r="G2511"/>
    </row>
    <row r="2512" spans="1:11" x14ac:dyDescent="0.25">
      <c r="G2512"/>
    </row>
    <row r="2513" spans="7:7" x14ac:dyDescent="0.25">
      <c r="G2513"/>
    </row>
    <row r="2514" spans="7:7" x14ac:dyDescent="0.25">
      <c r="G2514"/>
    </row>
    <row r="2515" spans="7:7" x14ac:dyDescent="0.25">
      <c r="G2515"/>
    </row>
    <row r="2516" spans="7:7" x14ac:dyDescent="0.25">
      <c r="G2516"/>
    </row>
    <row r="2517" spans="7:7" x14ac:dyDescent="0.25">
      <c r="G2517"/>
    </row>
    <row r="2518" spans="7:7" x14ac:dyDescent="0.25">
      <c r="G2518"/>
    </row>
    <row r="2519" spans="7:7" x14ac:dyDescent="0.25">
      <c r="G2519"/>
    </row>
    <row r="2520" spans="7:7" x14ac:dyDescent="0.25">
      <c r="G2520"/>
    </row>
    <row r="2521" spans="7:7" x14ac:dyDescent="0.25">
      <c r="G2521"/>
    </row>
    <row r="2522" spans="7:7" x14ac:dyDescent="0.25">
      <c r="G2522"/>
    </row>
    <row r="2523" spans="7:7" x14ac:dyDescent="0.25">
      <c r="G2523"/>
    </row>
    <row r="2524" spans="7:7" x14ac:dyDescent="0.25">
      <c r="G2524"/>
    </row>
    <row r="2525" spans="7:7" x14ac:dyDescent="0.25">
      <c r="G2525"/>
    </row>
    <row r="2526" spans="7:7" x14ac:dyDescent="0.25">
      <c r="G2526"/>
    </row>
    <row r="2527" spans="7:7" x14ac:dyDescent="0.25">
      <c r="G2527"/>
    </row>
    <row r="2528" spans="7:7" x14ac:dyDescent="0.25">
      <c r="G2528"/>
    </row>
    <row r="2529" spans="7:7" x14ac:dyDescent="0.25">
      <c r="G2529"/>
    </row>
    <row r="2530" spans="7:7" x14ac:dyDescent="0.25">
      <c r="G2530"/>
    </row>
    <row r="2531" spans="7:7" x14ac:dyDescent="0.25">
      <c r="G2531"/>
    </row>
    <row r="2532" spans="7:7" x14ac:dyDescent="0.25">
      <c r="G2532"/>
    </row>
    <row r="2533" spans="7:7" x14ac:dyDescent="0.25">
      <c r="G2533"/>
    </row>
    <row r="2534" spans="7:7" x14ac:dyDescent="0.25">
      <c r="G2534"/>
    </row>
    <row r="2535" spans="7:7" x14ac:dyDescent="0.25">
      <c r="G2535"/>
    </row>
    <row r="2536" spans="7:7" x14ac:dyDescent="0.25">
      <c r="G2536"/>
    </row>
    <row r="2537" spans="7:7" x14ac:dyDescent="0.25">
      <c r="G2537"/>
    </row>
    <row r="2538" spans="7:7" x14ac:dyDescent="0.25">
      <c r="G2538"/>
    </row>
    <row r="2539" spans="7:7" x14ac:dyDescent="0.25">
      <c r="G2539"/>
    </row>
    <row r="2540" spans="7:7" x14ac:dyDescent="0.25">
      <c r="G2540"/>
    </row>
    <row r="2541" spans="7:7" x14ac:dyDescent="0.25">
      <c r="G2541"/>
    </row>
    <row r="2542" spans="7:7" x14ac:dyDescent="0.25">
      <c r="G2542"/>
    </row>
    <row r="2543" spans="7:7" x14ac:dyDescent="0.25">
      <c r="G2543"/>
    </row>
    <row r="2544" spans="7:7" x14ac:dyDescent="0.25">
      <c r="G2544"/>
    </row>
    <row r="2545" spans="7:7" x14ac:dyDescent="0.25">
      <c r="G2545"/>
    </row>
    <row r="2546" spans="7:7" x14ac:dyDescent="0.25">
      <c r="G2546"/>
    </row>
    <row r="2547" spans="7:7" x14ac:dyDescent="0.25">
      <c r="G2547"/>
    </row>
    <row r="2548" spans="7:7" x14ac:dyDescent="0.25">
      <c r="G2548"/>
    </row>
    <row r="2549" spans="7:7" x14ac:dyDescent="0.25">
      <c r="G2549"/>
    </row>
    <row r="2550" spans="7:7" x14ac:dyDescent="0.25">
      <c r="G2550"/>
    </row>
    <row r="2551" spans="7:7" x14ac:dyDescent="0.25">
      <c r="G2551"/>
    </row>
    <row r="2552" spans="7:7" x14ac:dyDescent="0.25">
      <c r="G2552"/>
    </row>
    <row r="2553" spans="7:7" x14ac:dyDescent="0.25">
      <c r="G2553"/>
    </row>
    <row r="2554" spans="7:7" x14ac:dyDescent="0.25">
      <c r="G2554"/>
    </row>
    <row r="2555" spans="7:7" x14ac:dyDescent="0.25">
      <c r="G2555"/>
    </row>
    <row r="2556" spans="7:7" x14ac:dyDescent="0.25">
      <c r="G2556"/>
    </row>
    <row r="2557" spans="7:7" x14ac:dyDescent="0.25">
      <c r="G2557"/>
    </row>
    <row r="2558" spans="7:7" x14ac:dyDescent="0.25">
      <c r="G2558"/>
    </row>
    <row r="2559" spans="7:7" x14ac:dyDescent="0.25">
      <c r="G2559"/>
    </row>
    <row r="2560" spans="7:7" x14ac:dyDescent="0.25">
      <c r="G2560"/>
    </row>
    <row r="2561" spans="7:7" x14ac:dyDescent="0.25">
      <c r="G2561"/>
    </row>
    <row r="2562" spans="7:7" x14ac:dyDescent="0.25">
      <c r="G2562"/>
    </row>
    <row r="2563" spans="7:7" x14ac:dyDescent="0.25">
      <c r="G2563"/>
    </row>
    <row r="2564" spans="7:7" x14ac:dyDescent="0.25">
      <c r="G2564"/>
    </row>
    <row r="2565" spans="7:7" x14ac:dyDescent="0.25">
      <c r="G2565"/>
    </row>
    <row r="2566" spans="7:7" x14ac:dyDescent="0.25">
      <c r="G2566"/>
    </row>
    <row r="2567" spans="7:7" x14ac:dyDescent="0.25">
      <c r="G2567"/>
    </row>
    <row r="2568" spans="7:7" x14ac:dyDescent="0.25">
      <c r="G2568"/>
    </row>
    <row r="2569" spans="7:7" x14ac:dyDescent="0.25">
      <c r="G2569"/>
    </row>
    <row r="2570" spans="7:7" x14ac:dyDescent="0.25">
      <c r="G2570"/>
    </row>
    <row r="2571" spans="7:7" x14ac:dyDescent="0.25">
      <c r="G2571"/>
    </row>
    <row r="2572" spans="7:7" x14ac:dyDescent="0.25">
      <c r="G2572"/>
    </row>
    <row r="2573" spans="7:7" x14ac:dyDescent="0.25">
      <c r="G2573"/>
    </row>
    <row r="2574" spans="7:7" x14ac:dyDescent="0.25">
      <c r="G2574"/>
    </row>
    <row r="2575" spans="7:7" x14ac:dyDescent="0.25">
      <c r="G2575"/>
    </row>
    <row r="2576" spans="7:7" x14ac:dyDescent="0.25">
      <c r="G2576"/>
    </row>
    <row r="2577" spans="7:7" x14ac:dyDescent="0.25">
      <c r="G2577"/>
    </row>
    <row r="2578" spans="7:7" x14ac:dyDescent="0.25">
      <c r="G2578"/>
    </row>
    <row r="2579" spans="7:7" x14ac:dyDescent="0.25">
      <c r="G2579"/>
    </row>
    <row r="2580" spans="7:7" x14ac:dyDescent="0.25">
      <c r="G2580"/>
    </row>
    <row r="2581" spans="7:7" x14ac:dyDescent="0.25">
      <c r="G2581"/>
    </row>
    <row r="2582" spans="7:7" x14ac:dyDescent="0.25">
      <c r="G2582"/>
    </row>
    <row r="2583" spans="7:7" x14ac:dyDescent="0.25">
      <c r="G2583"/>
    </row>
    <row r="2584" spans="7:7" x14ac:dyDescent="0.25">
      <c r="G2584"/>
    </row>
    <row r="2585" spans="7:7" x14ac:dyDescent="0.25">
      <c r="G2585"/>
    </row>
    <row r="2586" spans="7:7" x14ac:dyDescent="0.25">
      <c r="G2586"/>
    </row>
    <row r="2587" spans="7:7" x14ac:dyDescent="0.25">
      <c r="G2587"/>
    </row>
    <row r="2588" spans="7:7" x14ac:dyDescent="0.25">
      <c r="G2588"/>
    </row>
    <row r="2589" spans="7:7" x14ac:dyDescent="0.25">
      <c r="G2589"/>
    </row>
    <row r="2590" spans="7:7" x14ac:dyDescent="0.25">
      <c r="G2590"/>
    </row>
    <row r="2591" spans="7:7" x14ac:dyDescent="0.25">
      <c r="G2591"/>
    </row>
    <row r="2592" spans="7:7" x14ac:dyDescent="0.25">
      <c r="G2592"/>
    </row>
    <row r="2593" spans="7:7" x14ac:dyDescent="0.25">
      <c r="G2593"/>
    </row>
    <row r="2594" spans="7:7" x14ac:dyDescent="0.25">
      <c r="G2594"/>
    </row>
    <row r="2595" spans="7:7" x14ac:dyDescent="0.25">
      <c r="G2595"/>
    </row>
    <row r="2596" spans="7:7" x14ac:dyDescent="0.25">
      <c r="G2596"/>
    </row>
    <row r="2597" spans="7:7" x14ac:dyDescent="0.25">
      <c r="G2597"/>
    </row>
    <row r="2598" spans="7:7" x14ac:dyDescent="0.25">
      <c r="G2598"/>
    </row>
    <row r="2599" spans="7:7" x14ac:dyDescent="0.25">
      <c r="G2599"/>
    </row>
    <row r="2600" spans="7:7" x14ac:dyDescent="0.25">
      <c r="G2600"/>
    </row>
    <row r="2601" spans="7:7" x14ac:dyDescent="0.25">
      <c r="G2601"/>
    </row>
    <row r="2602" spans="7:7" x14ac:dyDescent="0.25">
      <c r="G2602"/>
    </row>
    <row r="2603" spans="7:7" x14ac:dyDescent="0.25">
      <c r="G2603"/>
    </row>
    <row r="2604" spans="7:7" x14ac:dyDescent="0.25">
      <c r="G2604"/>
    </row>
    <row r="2605" spans="7:7" x14ac:dyDescent="0.25">
      <c r="G2605"/>
    </row>
    <row r="2606" spans="7:7" x14ac:dyDescent="0.25">
      <c r="G2606"/>
    </row>
    <row r="2607" spans="7:7" x14ac:dyDescent="0.25">
      <c r="G2607"/>
    </row>
    <row r="2608" spans="7:7" x14ac:dyDescent="0.25">
      <c r="G2608"/>
    </row>
    <row r="2609" spans="7:7" x14ac:dyDescent="0.25">
      <c r="G2609"/>
    </row>
    <row r="2610" spans="7:7" x14ac:dyDescent="0.25">
      <c r="G2610"/>
    </row>
    <row r="2611" spans="7:7" x14ac:dyDescent="0.25">
      <c r="G2611"/>
    </row>
    <row r="2612" spans="7:7" x14ac:dyDescent="0.25">
      <c r="G2612"/>
    </row>
    <row r="2613" spans="7:7" x14ac:dyDescent="0.25">
      <c r="G2613"/>
    </row>
    <row r="2614" spans="7:7" x14ac:dyDescent="0.25">
      <c r="G2614"/>
    </row>
    <row r="2615" spans="7:7" x14ac:dyDescent="0.25">
      <c r="G2615"/>
    </row>
    <row r="2616" spans="7:7" x14ac:dyDescent="0.25">
      <c r="G2616"/>
    </row>
    <row r="2617" spans="7:7" x14ac:dyDescent="0.25">
      <c r="G2617"/>
    </row>
    <row r="2618" spans="7:7" x14ac:dyDescent="0.25">
      <c r="G2618"/>
    </row>
    <row r="2619" spans="7:7" x14ac:dyDescent="0.25">
      <c r="G2619"/>
    </row>
    <row r="2620" spans="7:7" x14ac:dyDescent="0.25">
      <c r="G2620"/>
    </row>
    <row r="2621" spans="7:7" x14ac:dyDescent="0.25">
      <c r="G2621"/>
    </row>
    <row r="2622" spans="7:7" x14ac:dyDescent="0.25">
      <c r="G2622"/>
    </row>
    <row r="2623" spans="7:7" x14ac:dyDescent="0.25">
      <c r="G2623"/>
    </row>
    <row r="2624" spans="7:7" x14ac:dyDescent="0.25">
      <c r="G2624"/>
    </row>
    <row r="2625" spans="7:7" x14ac:dyDescent="0.25">
      <c r="G2625"/>
    </row>
    <row r="2626" spans="7:7" x14ac:dyDescent="0.25">
      <c r="G2626"/>
    </row>
    <row r="2627" spans="7:7" x14ac:dyDescent="0.25">
      <c r="G2627"/>
    </row>
    <row r="2628" spans="7:7" x14ac:dyDescent="0.25">
      <c r="G2628"/>
    </row>
    <row r="2629" spans="7:7" x14ac:dyDescent="0.25">
      <c r="G2629"/>
    </row>
    <row r="2630" spans="7:7" x14ac:dyDescent="0.25">
      <c r="G2630"/>
    </row>
    <row r="2631" spans="7:7" x14ac:dyDescent="0.25">
      <c r="G2631"/>
    </row>
    <row r="2632" spans="7:7" x14ac:dyDescent="0.25">
      <c r="G2632"/>
    </row>
    <row r="2633" spans="7:7" x14ac:dyDescent="0.25">
      <c r="G2633"/>
    </row>
    <row r="2634" spans="7:7" x14ac:dyDescent="0.25">
      <c r="G2634"/>
    </row>
    <row r="2635" spans="7:7" x14ac:dyDescent="0.25">
      <c r="G2635"/>
    </row>
    <row r="2636" spans="7:7" x14ac:dyDescent="0.25">
      <c r="G2636"/>
    </row>
    <row r="2637" spans="7:7" x14ac:dyDescent="0.25">
      <c r="G2637"/>
    </row>
    <row r="2638" spans="7:7" x14ac:dyDescent="0.25">
      <c r="G2638"/>
    </row>
    <row r="2639" spans="7:7" x14ac:dyDescent="0.25">
      <c r="G2639"/>
    </row>
    <row r="2640" spans="7:7" x14ac:dyDescent="0.25">
      <c r="G2640"/>
    </row>
    <row r="2641" spans="7:7" x14ac:dyDescent="0.25">
      <c r="G2641"/>
    </row>
    <row r="2642" spans="7:7" x14ac:dyDescent="0.25">
      <c r="G2642"/>
    </row>
    <row r="2643" spans="7:7" x14ac:dyDescent="0.25">
      <c r="G2643"/>
    </row>
    <row r="2644" spans="7:7" x14ac:dyDescent="0.25">
      <c r="G2644"/>
    </row>
    <row r="2645" spans="7:7" x14ac:dyDescent="0.25">
      <c r="G2645"/>
    </row>
    <row r="2646" spans="7:7" x14ac:dyDescent="0.25">
      <c r="G2646"/>
    </row>
    <row r="2647" spans="7:7" x14ac:dyDescent="0.25">
      <c r="G2647"/>
    </row>
    <row r="2648" spans="7:7" x14ac:dyDescent="0.25">
      <c r="G2648"/>
    </row>
    <row r="2649" spans="7:7" x14ac:dyDescent="0.25">
      <c r="G2649"/>
    </row>
    <row r="2650" spans="7:7" x14ac:dyDescent="0.25">
      <c r="G2650"/>
    </row>
    <row r="2651" spans="7:7" x14ac:dyDescent="0.25">
      <c r="G2651"/>
    </row>
    <row r="2652" spans="7:7" x14ac:dyDescent="0.25">
      <c r="G2652"/>
    </row>
    <row r="2653" spans="7:7" x14ac:dyDescent="0.25">
      <c r="G2653"/>
    </row>
    <row r="2654" spans="7:7" x14ac:dyDescent="0.25">
      <c r="G2654"/>
    </row>
    <row r="2655" spans="7:7" x14ac:dyDescent="0.25">
      <c r="G2655"/>
    </row>
    <row r="2656" spans="7:7" x14ac:dyDescent="0.25">
      <c r="G2656"/>
    </row>
    <row r="2657" spans="7:7" x14ac:dyDescent="0.25">
      <c r="G2657"/>
    </row>
    <row r="2658" spans="7:7" x14ac:dyDescent="0.25">
      <c r="G2658"/>
    </row>
    <row r="2659" spans="7:7" x14ac:dyDescent="0.25">
      <c r="G2659"/>
    </row>
    <row r="2660" spans="7:7" x14ac:dyDescent="0.25">
      <c r="G2660"/>
    </row>
    <row r="2661" spans="7:7" x14ac:dyDescent="0.25">
      <c r="G2661"/>
    </row>
    <row r="2662" spans="7:7" x14ac:dyDescent="0.25">
      <c r="G2662"/>
    </row>
    <row r="2663" spans="7:7" x14ac:dyDescent="0.25">
      <c r="G2663"/>
    </row>
    <row r="2664" spans="7:7" x14ac:dyDescent="0.25">
      <c r="G2664"/>
    </row>
    <row r="2665" spans="7:7" x14ac:dyDescent="0.25">
      <c r="G2665"/>
    </row>
    <row r="2666" spans="7:7" x14ac:dyDescent="0.25">
      <c r="G2666"/>
    </row>
    <row r="2667" spans="7:7" x14ac:dyDescent="0.25">
      <c r="G2667"/>
    </row>
    <row r="2668" spans="7:7" x14ac:dyDescent="0.25">
      <c r="G2668"/>
    </row>
    <row r="2669" spans="7:7" x14ac:dyDescent="0.25">
      <c r="G2669"/>
    </row>
    <row r="2670" spans="7:7" x14ac:dyDescent="0.25">
      <c r="G2670"/>
    </row>
    <row r="2671" spans="7:7" x14ac:dyDescent="0.25">
      <c r="G2671"/>
    </row>
    <row r="2672" spans="7:7" x14ac:dyDescent="0.25">
      <c r="G2672"/>
    </row>
    <row r="2673" spans="7:7" x14ac:dyDescent="0.25">
      <c r="G2673"/>
    </row>
    <row r="2674" spans="7:7" x14ac:dyDescent="0.25">
      <c r="G2674"/>
    </row>
    <row r="2675" spans="7:7" x14ac:dyDescent="0.25">
      <c r="G2675"/>
    </row>
    <row r="2676" spans="7:7" x14ac:dyDescent="0.25">
      <c r="G2676"/>
    </row>
    <row r="2677" spans="7:7" x14ac:dyDescent="0.25">
      <c r="G2677"/>
    </row>
    <row r="2678" spans="7:7" x14ac:dyDescent="0.25">
      <c r="G2678"/>
    </row>
    <row r="2679" spans="7:7" x14ac:dyDescent="0.25">
      <c r="G2679"/>
    </row>
    <row r="2680" spans="7:7" x14ac:dyDescent="0.25">
      <c r="G2680"/>
    </row>
    <row r="2681" spans="7:7" x14ac:dyDescent="0.25">
      <c r="G2681"/>
    </row>
    <row r="2682" spans="7:7" x14ac:dyDescent="0.25">
      <c r="G2682"/>
    </row>
    <row r="2683" spans="7:7" x14ac:dyDescent="0.25">
      <c r="G2683"/>
    </row>
    <row r="2684" spans="7:7" x14ac:dyDescent="0.25">
      <c r="G2684"/>
    </row>
    <row r="2685" spans="7:7" x14ac:dyDescent="0.25">
      <c r="G2685"/>
    </row>
    <row r="2686" spans="7:7" x14ac:dyDescent="0.25">
      <c r="G2686"/>
    </row>
    <row r="2687" spans="7:7" x14ac:dyDescent="0.25">
      <c r="G2687"/>
    </row>
    <row r="2688" spans="7:7" x14ac:dyDescent="0.25">
      <c r="G2688"/>
    </row>
    <row r="2689" spans="7:7" x14ac:dyDescent="0.25">
      <c r="G2689"/>
    </row>
    <row r="2690" spans="7:7" x14ac:dyDescent="0.25">
      <c r="G2690"/>
    </row>
    <row r="2691" spans="7:7" x14ac:dyDescent="0.25">
      <c r="G2691"/>
    </row>
    <row r="2692" spans="7:7" x14ac:dyDescent="0.25">
      <c r="G2692"/>
    </row>
    <row r="2693" spans="7:7" x14ac:dyDescent="0.25">
      <c r="G2693"/>
    </row>
    <row r="2694" spans="7:7" x14ac:dyDescent="0.25">
      <c r="G2694"/>
    </row>
    <row r="2695" spans="7:7" x14ac:dyDescent="0.25">
      <c r="G2695"/>
    </row>
    <row r="2696" spans="7:7" x14ac:dyDescent="0.25">
      <c r="G2696"/>
    </row>
    <row r="2697" spans="7:7" x14ac:dyDescent="0.25">
      <c r="G2697"/>
    </row>
    <row r="2698" spans="7:7" x14ac:dyDescent="0.25">
      <c r="G2698"/>
    </row>
    <row r="2699" spans="7:7" x14ac:dyDescent="0.25">
      <c r="G2699"/>
    </row>
    <row r="2700" spans="7:7" x14ac:dyDescent="0.25">
      <c r="G2700"/>
    </row>
    <row r="2701" spans="7:7" x14ac:dyDescent="0.25">
      <c r="G2701"/>
    </row>
    <row r="2702" spans="7:7" x14ac:dyDescent="0.25">
      <c r="G2702"/>
    </row>
    <row r="2703" spans="7:7" x14ac:dyDescent="0.25">
      <c r="G2703"/>
    </row>
    <row r="2704" spans="7:7" x14ac:dyDescent="0.25">
      <c r="G2704"/>
    </row>
    <row r="2705" spans="7:7" x14ac:dyDescent="0.25">
      <c r="G2705"/>
    </row>
    <row r="2706" spans="7:7" x14ac:dyDescent="0.25">
      <c r="G2706"/>
    </row>
    <row r="2707" spans="7:7" x14ac:dyDescent="0.25">
      <c r="G2707"/>
    </row>
    <row r="2708" spans="7:7" x14ac:dyDescent="0.25">
      <c r="G2708"/>
    </row>
    <row r="2709" spans="7:7" x14ac:dyDescent="0.25">
      <c r="G2709"/>
    </row>
    <row r="2710" spans="7:7" x14ac:dyDescent="0.25">
      <c r="G2710"/>
    </row>
    <row r="2711" spans="7:7" x14ac:dyDescent="0.25">
      <c r="G2711"/>
    </row>
    <row r="2712" spans="7:7" x14ac:dyDescent="0.25">
      <c r="G2712"/>
    </row>
    <row r="2713" spans="7:7" x14ac:dyDescent="0.25">
      <c r="G2713"/>
    </row>
    <row r="2714" spans="7:7" x14ac:dyDescent="0.25">
      <c r="G2714"/>
    </row>
    <row r="2715" spans="7:7" x14ac:dyDescent="0.25">
      <c r="G2715"/>
    </row>
    <row r="2716" spans="7:7" x14ac:dyDescent="0.25">
      <c r="G2716"/>
    </row>
    <row r="2717" spans="7:7" x14ac:dyDescent="0.25">
      <c r="G2717"/>
    </row>
    <row r="2718" spans="7:7" x14ac:dyDescent="0.25">
      <c r="G2718"/>
    </row>
    <row r="2719" spans="7:7" x14ac:dyDescent="0.25">
      <c r="G2719"/>
    </row>
    <row r="2720" spans="7:7" x14ac:dyDescent="0.25">
      <c r="G2720"/>
    </row>
    <row r="2721" spans="7:7" x14ac:dyDescent="0.25">
      <c r="G2721"/>
    </row>
    <row r="2722" spans="7:7" x14ac:dyDescent="0.25">
      <c r="G2722"/>
    </row>
    <row r="2723" spans="7:7" x14ac:dyDescent="0.25">
      <c r="G2723"/>
    </row>
    <row r="2724" spans="7:7" x14ac:dyDescent="0.25">
      <c r="G2724"/>
    </row>
    <row r="2725" spans="7:7" x14ac:dyDescent="0.25">
      <c r="G2725"/>
    </row>
    <row r="2726" spans="7:7" x14ac:dyDescent="0.25">
      <c r="G2726"/>
    </row>
    <row r="2727" spans="7:7" x14ac:dyDescent="0.25">
      <c r="G2727"/>
    </row>
    <row r="2728" spans="7:7" x14ac:dyDescent="0.25">
      <c r="G2728"/>
    </row>
    <row r="2729" spans="7:7" x14ac:dyDescent="0.25">
      <c r="G2729"/>
    </row>
    <row r="2730" spans="7:7" x14ac:dyDescent="0.25">
      <c r="G2730"/>
    </row>
    <row r="2731" spans="7:7" x14ac:dyDescent="0.25">
      <c r="G2731"/>
    </row>
    <row r="2732" spans="7:7" x14ac:dyDescent="0.25">
      <c r="G2732"/>
    </row>
    <row r="2733" spans="7:7" x14ac:dyDescent="0.25">
      <c r="G2733"/>
    </row>
    <row r="2734" spans="7:7" x14ac:dyDescent="0.25">
      <c r="G2734"/>
    </row>
    <row r="2735" spans="7:7" x14ac:dyDescent="0.25">
      <c r="G2735"/>
    </row>
    <row r="2736" spans="7:7" x14ac:dyDescent="0.25">
      <c r="G2736"/>
    </row>
    <row r="2737" spans="7:7" x14ac:dyDescent="0.25">
      <c r="G2737"/>
    </row>
    <row r="2738" spans="7:7" x14ac:dyDescent="0.25">
      <c r="G2738"/>
    </row>
    <row r="2739" spans="7:7" x14ac:dyDescent="0.25">
      <c r="G2739"/>
    </row>
    <row r="2740" spans="7:7" x14ac:dyDescent="0.25">
      <c r="G2740"/>
    </row>
    <row r="2741" spans="7:7" x14ac:dyDescent="0.25">
      <c r="G2741"/>
    </row>
    <row r="2742" spans="7:7" x14ac:dyDescent="0.25">
      <c r="G2742"/>
    </row>
    <row r="2743" spans="7:7" x14ac:dyDescent="0.25">
      <c r="G2743"/>
    </row>
    <row r="2744" spans="7:7" x14ac:dyDescent="0.25">
      <c r="G2744"/>
    </row>
    <row r="2745" spans="7:7" x14ac:dyDescent="0.25">
      <c r="G2745"/>
    </row>
    <row r="2746" spans="7:7" x14ac:dyDescent="0.25">
      <c r="G2746"/>
    </row>
    <row r="2747" spans="7:7" x14ac:dyDescent="0.25">
      <c r="G2747"/>
    </row>
    <row r="2748" spans="7:7" x14ac:dyDescent="0.25">
      <c r="G2748"/>
    </row>
    <row r="2749" spans="7:7" x14ac:dyDescent="0.25">
      <c r="G2749"/>
    </row>
    <row r="2750" spans="7:7" x14ac:dyDescent="0.25">
      <c r="G2750"/>
    </row>
    <row r="2751" spans="7:7" x14ac:dyDescent="0.25">
      <c r="G2751"/>
    </row>
    <row r="2752" spans="7:7" x14ac:dyDescent="0.25">
      <c r="G2752"/>
    </row>
    <row r="2753" spans="7:7" x14ac:dyDescent="0.25">
      <c r="G2753"/>
    </row>
    <row r="2754" spans="7:7" x14ac:dyDescent="0.25">
      <c r="G2754"/>
    </row>
    <row r="2755" spans="7:7" x14ac:dyDescent="0.25">
      <c r="G2755"/>
    </row>
    <row r="2756" spans="7:7" x14ac:dyDescent="0.25">
      <c r="G2756"/>
    </row>
    <row r="2757" spans="7:7" x14ac:dyDescent="0.25">
      <c r="G2757"/>
    </row>
    <row r="2758" spans="7:7" x14ac:dyDescent="0.25">
      <c r="G2758"/>
    </row>
    <row r="2759" spans="7:7" x14ac:dyDescent="0.25">
      <c r="G2759"/>
    </row>
    <row r="2760" spans="7:7" x14ac:dyDescent="0.25">
      <c r="G2760"/>
    </row>
    <row r="2761" spans="7:7" x14ac:dyDescent="0.25">
      <c r="G2761"/>
    </row>
    <row r="2762" spans="7:7" x14ac:dyDescent="0.25">
      <c r="G2762"/>
    </row>
    <row r="2763" spans="7:7" x14ac:dyDescent="0.25">
      <c r="G2763"/>
    </row>
    <row r="2764" spans="7:7" x14ac:dyDescent="0.25">
      <c r="G2764"/>
    </row>
    <row r="2765" spans="7:7" x14ac:dyDescent="0.25">
      <c r="G2765"/>
    </row>
    <row r="2766" spans="7:7" x14ac:dyDescent="0.25">
      <c r="G2766"/>
    </row>
    <row r="2767" spans="7:7" x14ac:dyDescent="0.25">
      <c r="G2767"/>
    </row>
    <row r="2768" spans="7:7" x14ac:dyDescent="0.25">
      <c r="G2768"/>
    </row>
    <row r="2769" spans="7:7" x14ac:dyDescent="0.25">
      <c r="G2769"/>
    </row>
    <row r="2770" spans="7:7" x14ac:dyDescent="0.25">
      <c r="G2770"/>
    </row>
    <row r="2771" spans="7:7" x14ac:dyDescent="0.25">
      <c r="G2771"/>
    </row>
    <row r="2772" spans="7:7" x14ac:dyDescent="0.25">
      <c r="G2772"/>
    </row>
    <row r="2773" spans="7:7" x14ac:dyDescent="0.25">
      <c r="G2773"/>
    </row>
    <row r="2774" spans="7:7" x14ac:dyDescent="0.25">
      <c r="G2774"/>
    </row>
    <row r="2775" spans="7:7" x14ac:dyDescent="0.25">
      <c r="G2775"/>
    </row>
    <row r="2776" spans="7:7" x14ac:dyDescent="0.25">
      <c r="G2776"/>
    </row>
    <row r="2777" spans="7:7" x14ac:dyDescent="0.25">
      <c r="G2777"/>
    </row>
    <row r="2778" spans="7:7" x14ac:dyDescent="0.25">
      <c r="G2778"/>
    </row>
    <row r="2779" spans="7:7" x14ac:dyDescent="0.25">
      <c r="G2779"/>
    </row>
    <row r="2780" spans="7:7" x14ac:dyDescent="0.25">
      <c r="G2780"/>
    </row>
    <row r="2781" spans="7:7" x14ac:dyDescent="0.25">
      <c r="G2781"/>
    </row>
    <row r="2782" spans="7:7" x14ac:dyDescent="0.25">
      <c r="G2782"/>
    </row>
    <row r="2783" spans="7:7" x14ac:dyDescent="0.25">
      <c r="G2783"/>
    </row>
    <row r="2784" spans="7:7" x14ac:dyDescent="0.25">
      <c r="G2784"/>
    </row>
    <row r="2785" spans="7:7" x14ac:dyDescent="0.25">
      <c r="G2785"/>
    </row>
    <row r="2786" spans="7:7" x14ac:dyDescent="0.25">
      <c r="G2786"/>
    </row>
    <row r="2787" spans="7:7" x14ac:dyDescent="0.25">
      <c r="G2787"/>
    </row>
    <row r="2788" spans="7:7" x14ac:dyDescent="0.25">
      <c r="G2788"/>
    </row>
    <row r="2789" spans="7:7" x14ac:dyDescent="0.25">
      <c r="G2789"/>
    </row>
    <row r="2790" spans="7:7" x14ac:dyDescent="0.25">
      <c r="G2790"/>
    </row>
    <row r="2791" spans="7:7" x14ac:dyDescent="0.25">
      <c r="G2791"/>
    </row>
    <row r="2792" spans="7:7" x14ac:dyDescent="0.25">
      <c r="G2792"/>
    </row>
    <row r="2793" spans="7:7" x14ac:dyDescent="0.25">
      <c r="G2793"/>
    </row>
    <row r="2794" spans="7:7" x14ac:dyDescent="0.25">
      <c r="G2794"/>
    </row>
    <row r="2795" spans="7:7" x14ac:dyDescent="0.25">
      <c r="G2795"/>
    </row>
    <row r="2796" spans="7:7" x14ac:dyDescent="0.25">
      <c r="G2796"/>
    </row>
    <row r="2797" spans="7:7" x14ac:dyDescent="0.25">
      <c r="G2797"/>
    </row>
    <row r="2798" spans="7:7" x14ac:dyDescent="0.25">
      <c r="G2798"/>
    </row>
    <row r="2799" spans="7:7" x14ac:dyDescent="0.25">
      <c r="G2799"/>
    </row>
    <row r="2800" spans="7:7" x14ac:dyDescent="0.25">
      <c r="G2800"/>
    </row>
    <row r="2801" spans="7:7" x14ac:dyDescent="0.25">
      <c r="G2801"/>
    </row>
    <row r="2802" spans="7:7" x14ac:dyDescent="0.25">
      <c r="G2802"/>
    </row>
    <row r="2803" spans="7:7" x14ac:dyDescent="0.25">
      <c r="G2803"/>
    </row>
    <row r="2804" spans="7:7" x14ac:dyDescent="0.25">
      <c r="G2804"/>
    </row>
    <row r="2805" spans="7:7" x14ac:dyDescent="0.25">
      <c r="G2805"/>
    </row>
    <row r="2806" spans="7:7" x14ac:dyDescent="0.25">
      <c r="G2806"/>
    </row>
    <row r="2807" spans="7:7" x14ac:dyDescent="0.25">
      <c r="G2807"/>
    </row>
    <row r="2808" spans="7:7" x14ac:dyDescent="0.25">
      <c r="G2808"/>
    </row>
    <row r="2809" spans="7:7" x14ac:dyDescent="0.25">
      <c r="G2809"/>
    </row>
    <row r="2810" spans="7:7" x14ac:dyDescent="0.25">
      <c r="G2810"/>
    </row>
    <row r="2811" spans="7:7" x14ac:dyDescent="0.25">
      <c r="G2811"/>
    </row>
    <row r="2812" spans="7:7" x14ac:dyDescent="0.25">
      <c r="G2812"/>
    </row>
    <row r="2813" spans="7:7" x14ac:dyDescent="0.25">
      <c r="G2813"/>
    </row>
    <row r="2814" spans="7:7" x14ac:dyDescent="0.25">
      <c r="G2814"/>
    </row>
    <row r="2815" spans="7:7" x14ac:dyDescent="0.25">
      <c r="G2815"/>
    </row>
    <row r="2816" spans="7:7" x14ac:dyDescent="0.25">
      <c r="G2816"/>
    </row>
    <row r="2817" spans="7:7" x14ac:dyDescent="0.25">
      <c r="G2817"/>
    </row>
    <row r="2818" spans="7:7" x14ac:dyDescent="0.25">
      <c r="G2818"/>
    </row>
    <row r="2819" spans="7:7" x14ac:dyDescent="0.25">
      <c r="G2819"/>
    </row>
    <row r="2820" spans="7:7" x14ac:dyDescent="0.25">
      <c r="G2820"/>
    </row>
    <row r="2821" spans="7:7" x14ac:dyDescent="0.25">
      <c r="G2821"/>
    </row>
    <row r="2822" spans="7:7" x14ac:dyDescent="0.25">
      <c r="G2822"/>
    </row>
    <row r="2823" spans="7:7" x14ac:dyDescent="0.25">
      <c r="G2823"/>
    </row>
    <row r="2824" spans="7:7" x14ac:dyDescent="0.25">
      <c r="G2824"/>
    </row>
    <row r="2825" spans="7:7" x14ac:dyDescent="0.25">
      <c r="G2825"/>
    </row>
    <row r="2826" spans="7:7" x14ac:dyDescent="0.25">
      <c r="G2826"/>
    </row>
    <row r="2827" spans="7:7" x14ac:dyDescent="0.25">
      <c r="G2827"/>
    </row>
    <row r="2828" spans="7:7" x14ac:dyDescent="0.25">
      <c r="G2828"/>
    </row>
    <row r="2829" spans="7:7" x14ac:dyDescent="0.25">
      <c r="G2829"/>
    </row>
    <row r="2830" spans="7:7" x14ac:dyDescent="0.25">
      <c r="G2830"/>
    </row>
    <row r="2831" spans="7:7" x14ac:dyDescent="0.25">
      <c r="G2831"/>
    </row>
    <row r="2832" spans="7:7" x14ac:dyDescent="0.25">
      <c r="G2832"/>
    </row>
    <row r="2833" spans="7:7" x14ac:dyDescent="0.25">
      <c r="G2833"/>
    </row>
    <row r="2834" spans="7:7" x14ac:dyDescent="0.25">
      <c r="G2834"/>
    </row>
    <row r="2835" spans="7:7" x14ac:dyDescent="0.25">
      <c r="G2835"/>
    </row>
    <row r="2836" spans="7:7" x14ac:dyDescent="0.25">
      <c r="G2836"/>
    </row>
    <row r="2837" spans="7:7" x14ac:dyDescent="0.25">
      <c r="G2837"/>
    </row>
    <row r="2838" spans="7:7" x14ac:dyDescent="0.25">
      <c r="G2838"/>
    </row>
    <row r="2839" spans="7:7" x14ac:dyDescent="0.25">
      <c r="G2839"/>
    </row>
    <row r="2840" spans="7:7" x14ac:dyDescent="0.25">
      <c r="G2840"/>
    </row>
    <row r="2841" spans="7:7" x14ac:dyDescent="0.25">
      <c r="G2841"/>
    </row>
    <row r="2842" spans="7:7" x14ac:dyDescent="0.25">
      <c r="G2842"/>
    </row>
    <row r="2843" spans="7:7" x14ac:dyDescent="0.25">
      <c r="G2843"/>
    </row>
    <row r="2844" spans="7:7" x14ac:dyDescent="0.25">
      <c r="G2844"/>
    </row>
    <row r="2845" spans="7:7" x14ac:dyDescent="0.25">
      <c r="G2845"/>
    </row>
    <row r="2846" spans="7:7" x14ac:dyDescent="0.25">
      <c r="G2846"/>
    </row>
    <row r="2847" spans="7:7" x14ac:dyDescent="0.25">
      <c r="G2847"/>
    </row>
    <row r="2848" spans="7:7" x14ac:dyDescent="0.25">
      <c r="G2848"/>
    </row>
    <row r="2849" spans="7:7" x14ac:dyDescent="0.25">
      <c r="G2849"/>
    </row>
    <row r="2850" spans="7:7" x14ac:dyDescent="0.25">
      <c r="G2850"/>
    </row>
    <row r="2851" spans="7:7" x14ac:dyDescent="0.25">
      <c r="G2851"/>
    </row>
    <row r="2852" spans="7:7" x14ac:dyDescent="0.25">
      <c r="G2852"/>
    </row>
    <row r="2853" spans="7:7" x14ac:dyDescent="0.25">
      <c r="G2853"/>
    </row>
    <row r="2854" spans="7:7" x14ac:dyDescent="0.25">
      <c r="G2854"/>
    </row>
    <row r="2855" spans="7:7" x14ac:dyDescent="0.25">
      <c r="G2855"/>
    </row>
    <row r="2856" spans="7:7" x14ac:dyDescent="0.25">
      <c r="G2856"/>
    </row>
    <row r="2857" spans="7:7" x14ac:dyDescent="0.25">
      <c r="G2857"/>
    </row>
    <row r="2858" spans="7:7" x14ac:dyDescent="0.25">
      <c r="G2858"/>
    </row>
    <row r="2859" spans="7:7" x14ac:dyDescent="0.25">
      <c r="G2859"/>
    </row>
    <row r="2860" spans="7:7" x14ac:dyDescent="0.25">
      <c r="G2860"/>
    </row>
    <row r="2861" spans="7:7" x14ac:dyDescent="0.25">
      <c r="G2861"/>
    </row>
    <row r="2862" spans="7:7" x14ac:dyDescent="0.25">
      <c r="G2862"/>
    </row>
    <row r="2863" spans="7:7" x14ac:dyDescent="0.25">
      <c r="G2863"/>
    </row>
    <row r="2864" spans="7:7" x14ac:dyDescent="0.25">
      <c r="G2864"/>
    </row>
    <row r="2865" spans="7:7" x14ac:dyDescent="0.25">
      <c r="G2865"/>
    </row>
    <row r="2866" spans="7:7" x14ac:dyDescent="0.25">
      <c r="G2866"/>
    </row>
    <row r="2867" spans="7:7" x14ac:dyDescent="0.25">
      <c r="G2867"/>
    </row>
    <row r="2868" spans="7:7" x14ac:dyDescent="0.25">
      <c r="G2868"/>
    </row>
    <row r="2869" spans="7:7" x14ac:dyDescent="0.25">
      <c r="G2869"/>
    </row>
    <row r="2870" spans="7:7" x14ac:dyDescent="0.25">
      <c r="G2870"/>
    </row>
    <row r="2871" spans="7:7" x14ac:dyDescent="0.25">
      <c r="G2871"/>
    </row>
    <row r="2872" spans="7:7" x14ac:dyDescent="0.25">
      <c r="G2872"/>
    </row>
    <row r="2873" spans="7:7" x14ac:dyDescent="0.25">
      <c r="G2873"/>
    </row>
    <row r="2874" spans="7:7" x14ac:dyDescent="0.25">
      <c r="G2874"/>
    </row>
    <row r="2875" spans="7:7" x14ac:dyDescent="0.25">
      <c r="G2875"/>
    </row>
    <row r="2876" spans="7:7" x14ac:dyDescent="0.25">
      <c r="G2876"/>
    </row>
    <row r="2877" spans="7:7" x14ac:dyDescent="0.25">
      <c r="G2877"/>
    </row>
    <row r="2878" spans="7:7" x14ac:dyDescent="0.25">
      <c r="G2878"/>
    </row>
    <row r="2879" spans="7:7" x14ac:dyDescent="0.25">
      <c r="G2879"/>
    </row>
    <row r="2880" spans="7:7" x14ac:dyDescent="0.25">
      <c r="G2880"/>
    </row>
    <row r="2881" spans="7:7" x14ac:dyDescent="0.25">
      <c r="G2881"/>
    </row>
    <row r="2882" spans="7:7" x14ac:dyDescent="0.25">
      <c r="G2882"/>
    </row>
    <row r="2883" spans="7:7" x14ac:dyDescent="0.25">
      <c r="G2883"/>
    </row>
    <row r="2884" spans="7:7" x14ac:dyDescent="0.25">
      <c r="G2884"/>
    </row>
    <row r="2885" spans="7:7" x14ac:dyDescent="0.25">
      <c r="G2885"/>
    </row>
    <row r="2886" spans="7:7" x14ac:dyDescent="0.25">
      <c r="G2886"/>
    </row>
    <row r="2887" spans="7:7" x14ac:dyDescent="0.25">
      <c r="G2887"/>
    </row>
    <row r="2888" spans="7:7" x14ac:dyDescent="0.25">
      <c r="G2888"/>
    </row>
    <row r="2889" spans="7:7" x14ac:dyDescent="0.25">
      <c r="G2889"/>
    </row>
    <row r="2890" spans="7:7" x14ac:dyDescent="0.25">
      <c r="G2890"/>
    </row>
    <row r="2891" spans="7:7" x14ac:dyDescent="0.25">
      <c r="G2891"/>
    </row>
    <row r="2892" spans="7:7" x14ac:dyDescent="0.25">
      <c r="G2892"/>
    </row>
    <row r="2893" spans="7:7" x14ac:dyDescent="0.25">
      <c r="G2893"/>
    </row>
    <row r="2894" spans="7:7" x14ac:dyDescent="0.25">
      <c r="G2894"/>
    </row>
    <row r="2895" spans="7:7" x14ac:dyDescent="0.25">
      <c r="G2895"/>
    </row>
    <row r="2896" spans="7:7" x14ac:dyDescent="0.25">
      <c r="G2896"/>
    </row>
    <row r="2897" spans="7:7" x14ac:dyDescent="0.25">
      <c r="G2897"/>
    </row>
    <row r="2898" spans="7:7" x14ac:dyDescent="0.25">
      <c r="G2898"/>
    </row>
    <row r="2899" spans="7:7" x14ac:dyDescent="0.25">
      <c r="G2899"/>
    </row>
    <row r="2900" spans="7:7" x14ac:dyDescent="0.25">
      <c r="G2900"/>
    </row>
    <row r="2901" spans="7:7" x14ac:dyDescent="0.25">
      <c r="G2901"/>
    </row>
    <row r="2902" spans="7:7" x14ac:dyDescent="0.25">
      <c r="G2902"/>
    </row>
    <row r="2903" spans="7:7" x14ac:dyDescent="0.25">
      <c r="G2903"/>
    </row>
    <row r="2904" spans="7:7" x14ac:dyDescent="0.25">
      <c r="G2904"/>
    </row>
    <row r="2905" spans="7:7" x14ac:dyDescent="0.25">
      <c r="G2905"/>
    </row>
    <row r="2906" spans="7:7" x14ac:dyDescent="0.25">
      <c r="G2906"/>
    </row>
    <row r="2907" spans="7:7" x14ac:dyDescent="0.25">
      <c r="G2907"/>
    </row>
    <row r="2908" spans="7:7" x14ac:dyDescent="0.25">
      <c r="G2908"/>
    </row>
    <row r="2909" spans="7:7" x14ac:dyDescent="0.25">
      <c r="G2909"/>
    </row>
    <row r="2910" spans="7:7" x14ac:dyDescent="0.25">
      <c r="G2910"/>
    </row>
    <row r="2911" spans="7:7" x14ac:dyDescent="0.25">
      <c r="G2911"/>
    </row>
    <row r="2912" spans="7:7" x14ac:dyDescent="0.25">
      <c r="G2912"/>
    </row>
    <row r="2913" spans="7:7" x14ac:dyDescent="0.25">
      <c r="G2913"/>
    </row>
    <row r="2914" spans="7:7" x14ac:dyDescent="0.25">
      <c r="G2914"/>
    </row>
    <row r="2915" spans="7:7" x14ac:dyDescent="0.25">
      <c r="G2915"/>
    </row>
    <row r="2916" spans="7:7" x14ac:dyDescent="0.25">
      <c r="G2916"/>
    </row>
    <row r="2917" spans="7:7" x14ac:dyDescent="0.25">
      <c r="G2917"/>
    </row>
    <row r="2918" spans="7:7" x14ac:dyDescent="0.25">
      <c r="G2918"/>
    </row>
    <row r="2919" spans="7:7" x14ac:dyDescent="0.25">
      <c r="G2919"/>
    </row>
    <row r="2920" spans="7:7" x14ac:dyDescent="0.25">
      <c r="G2920"/>
    </row>
    <row r="2921" spans="7:7" x14ac:dyDescent="0.25">
      <c r="G2921"/>
    </row>
    <row r="2922" spans="7:7" x14ac:dyDescent="0.25">
      <c r="G2922"/>
    </row>
    <row r="2923" spans="7:7" x14ac:dyDescent="0.25">
      <c r="G2923"/>
    </row>
    <row r="2924" spans="7:7" x14ac:dyDescent="0.25">
      <c r="G2924"/>
    </row>
    <row r="2925" spans="7:7" x14ac:dyDescent="0.25">
      <c r="G2925"/>
    </row>
    <row r="2926" spans="7:7" x14ac:dyDescent="0.25">
      <c r="G2926"/>
    </row>
    <row r="2927" spans="7:7" x14ac:dyDescent="0.25">
      <c r="G2927"/>
    </row>
    <row r="2928" spans="7:7" x14ac:dyDescent="0.25">
      <c r="G2928"/>
    </row>
    <row r="2929" spans="7:7" x14ac:dyDescent="0.25">
      <c r="G2929"/>
    </row>
    <row r="2930" spans="7:7" x14ac:dyDescent="0.25">
      <c r="G2930"/>
    </row>
    <row r="2931" spans="7:7" x14ac:dyDescent="0.25">
      <c r="G2931"/>
    </row>
    <row r="2932" spans="7:7" x14ac:dyDescent="0.25">
      <c r="G2932"/>
    </row>
    <row r="2933" spans="7:7" x14ac:dyDescent="0.25">
      <c r="G2933"/>
    </row>
    <row r="2934" spans="7:7" x14ac:dyDescent="0.25">
      <c r="G2934"/>
    </row>
    <row r="2935" spans="7:7" x14ac:dyDescent="0.25">
      <c r="G2935"/>
    </row>
    <row r="2936" spans="7:7" x14ac:dyDescent="0.25">
      <c r="G2936"/>
    </row>
    <row r="2937" spans="7:7" x14ac:dyDescent="0.25">
      <c r="G2937"/>
    </row>
    <row r="2938" spans="7:7" x14ac:dyDescent="0.25">
      <c r="G2938"/>
    </row>
    <row r="2939" spans="7:7" x14ac:dyDescent="0.25">
      <c r="G2939"/>
    </row>
    <row r="2940" spans="7:7" x14ac:dyDescent="0.25">
      <c r="G2940"/>
    </row>
    <row r="2941" spans="7:7" x14ac:dyDescent="0.25">
      <c r="G2941"/>
    </row>
    <row r="2942" spans="7:7" x14ac:dyDescent="0.25">
      <c r="G2942"/>
    </row>
    <row r="2943" spans="7:7" x14ac:dyDescent="0.25">
      <c r="G2943"/>
    </row>
    <row r="2944" spans="7:7" x14ac:dyDescent="0.25">
      <c r="G2944"/>
    </row>
    <row r="2945" spans="7:7" x14ac:dyDescent="0.25">
      <c r="G2945"/>
    </row>
    <row r="2946" spans="7:7" x14ac:dyDescent="0.25">
      <c r="G2946"/>
    </row>
    <row r="2947" spans="7:7" x14ac:dyDescent="0.25">
      <c r="G2947"/>
    </row>
    <row r="2948" spans="7:7" x14ac:dyDescent="0.25">
      <c r="G2948"/>
    </row>
    <row r="2949" spans="7:7" x14ac:dyDescent="0.25">
      <c r="G2949"/>
    </row>
    <row r="2950" spans="7:7" x14ac:dyDescent="0.25">
      <c r="G2950"/>
    </row>
    <row r="2951" spans="7:7" x14ac:dyDescent="0.25">
      <c r="G2951"/>
    </row>
    <row r="2952" spans="7:7" x14ac:dyDescent="0.25">
      <c r="G2952"/>
    </row>
    <row r="2953" spans="7:7" x14ac:dyDescent="0.25">
      <c r="G2953"/>
    </row>
    <row r="2954" spans="7:7" x14ac:dyDescent="0.25">
      <c r="G2954"/>
    </row>
    <row r="2955" spans="7:7" x14ac:dyDescent="0.25">
      <c r="G2955"/>
    </row>
    <row r="2956" spans="7:7" x14ac:dyDescent="0.25">
      <c r="G2956"/>
    </row>
    <row r="2957" spans="7:7" x14ac:dyDescent="0.25">
      <c r="G2957"/>
    </row>
    <row r="2958" spans="7:7" x14ac:dyDescent="0.25">
      <c r="G2958"/>
    </row>
    <row r="2959" spans="7:7" x14ac:dyDescent="0.25">
      <c r="G2959"/>
    </row>
    <row r="2960" spans="7:7" x14ac:dyDescent="0.25">
      <c r="G2960"/>
    </row>
    <row r="2961" spans="7:7" x14ac:dyDescent="0.25">
      <c r="G2961"/>
    </row>
    <row r="2962" spans="7:7" x14ac:dyDescent="0.25">
      <c r="G2962"/>
    </row>
    <row r="2963" spans="7:7" x14ac:dyDescent="0.25">
      <c r="G2963"/>
    </row>
    <row r="2964" spans="7:7" x14ac:dyDescent="0.25">
      <c r="G2964"/>
    </row>
    <row r="2965" spans="7:7" x14ac:dyDescent="0.25">
      <c r="G2965"/>
    </row>
    <row r="2966" spans="7:7" x14ac:dyDescent="0.25">
      <c r="G2966"/>
    </row>
    <row r="2967" spans="7:7" x14ac:dyDescent="0.25">
      <c r="G2967"/>
    </row>
    <row r="2968" spans="7:7" x14ac:dyDescent="0.25">
      <c r="G2968"/>
    </row>
    <row r="2969" spans="7:7" x14ac:dyDescent="0.25">
      <c r="G2969"/>
    </row>
    <row r="2970" spans="7:7" x14ac:dyDescent="0.25">
      <c r="G2970"/>
    </row>
    <row r="2971" spans="7:7" x14ac:dyDescent="0.25">
      <c r="G2971"/>
    </row>
    <row r="2972" spans="7:7" x14ac:dyDescent="0.25">
      <c r="G2972"/>
    </row>
    <row r="2973" spans="7:7" x14ac:dyDescent="0.25">
      <c r="G2973"/>
    </row>
    <row r="2974" spans="7:7" x14ac:dyDescent="0.25">
      <c r="G2974"/>
    </row>
    <row r="2975" spans="7:7" x14ac:dyDescent="0.25">
      <c r="G2975"/>
    </row>
    <row r="2976" spans="7:7" x14ac:dyDescent="0.25">
      <c r="G2976"/>
    </row>
    <row r="2977" spans="7:7" x14ac:dyDescent="0.25">
      <c r="G2977"/>
    </row>
    <row r="2978" spans="7:7" x14ac:dyDescent="0.25">
      <c r="G2978"/>
    </row>
    <row r="2979" spans="7:7" x14ac:dyDescent="0.25">
      <c r="G2979"/>
    </row>
    <row r="2980" spans="7:7" x14ac:dyDescent="0.25">
      <c r="G2980"/>
    </row>
    <row r="2981" spans="7:7" x14ac:dyDescent="0.25">
      <c r="G2981"/>
    </row>
    <row r="2982" spans="7:7" x14ac:dyDescent="0.25">
      <c r="G2982"/>
    </row>
    <row r="2983" spans="7:7" x14ac:dyDescent="0.25">
      <c r="G2983"/>
    </row>
    <row r="2984" spans="7:7" x14ac:dyDescent="0.25">
      <c r="G2984"/>
    </row>
    <row r="2985" spans="7:7" x14ac:dyDescent="0.25">
      <c r="G2985"/>
    </row>
    <row r="2986" spans="7:7" x14ac:dyDescent="0.25">
      <c r="G2986"/>
    </row>
    <row r="2987" spans="7:7" x14ac:dyDescent="0.25">
      <c r="G2987"/>
    </row>
    <row r="2988" spans="7:7" x14ac:dyDescent="0.25">
      <c r="G2988"/>
    </row>
    <row r="2989" spans="7:7" x14ac:dyDescent="0.25">
      <c r="G2989"/>
    </row>
    <row r="2990" spans="7:7" x14ac:dyDescent="0.25">
      <c r="G2990"/>
    </row>
    <row r="2991" spans="7:7" x14ac:dyDescent="0.25">
      <c r="G2991"/>
    </row>
    <row r="2992" spans="7:7" x14ac:dyDescent="0.25">
      <c r="G2992"/>
    </row>
    <row r="2993" spans="7:7" x14ac:dyDescent="0.25">
      <c r="G2993"/>
    </row>
    <row r="2994" spans="7:7" x14ac:dyDescent="0.25">
      <c r="G2994"/>
    </row>
    <row r="2995" spans="7:7" x14ac:dyDescent="0.25">
      <c r="G2995"/>
    </row>
    <row r="2996" spans="7:7" x14ac:dyDescent="0.25">
      <c r="G2996"/>
    </row>
    <row r="2997" spans="7:7" x14ac:dyDescent="0.25">
      <c r="G2997"/>
    </row>
    <row r="2998" spans="7:7" x14ac:dyDescent="0.25">
      <c r="G2998"/>
    </row>
    <row r="2999" spans="7:7" x14ac:dyDescent="0.25">
      <c r="G2999"/>
    </row>
    <row r="3000" spans="7:7" x14ac:dyDescent="0.25">
      <c r="G3000"/>
    </row>
    <row r="3001" spans="7:7" x14ac:dyDescent="0.25">
      <c r="G3001"/>
    </row>
    <row r="3002" spans="7:7" x14ac:dyDescent="0.25">
      <c r="G3002"/>
    </row>
    <row r="3003" spans="7:7" x14ac:dyDescent="0.25">
      <c r="G3003"/>
    </row>
    <row r="3004" spans="7:7" x14ac:dyDescent="0.25">
      <c r="G3004"/>
    </row>
    <row r="3005" spans="7:7" x14ac:dyDescent="0.25">
      <c r="G3005"/>
    </row>
    <row r="3006" spans="7:7" x14ac:dyDescent="0.25">
      <c r="G3006"/>
    </row>
    <row r="3007" spans="7:7" x14ac:dyDescent="0.25">
      <c r="G3007"/>
    </row>
    <row r="3008" spans="7:7" x14ac:dyDescent="0.25">
      <c r="G3008"/>
    </row>
    <row r="3009" spans="7:11" x14ac:dyDescent="0.25">
      <c r="G3009"/>
    </row>
    <row r="3010" spans="7:11" x14ac:dyDescent="0.25">
      <c r="G3010"/>
    </row>
    <row r="3011" spans="7:11" x14ac:dyDescent="0.25">
      <c r="G3011" s="22"/>
      <c r="H3011" s="19"/>
      <c r="I3011" s="19"/>
      <c r="J3011" s="19"/>
      <c r="K3011" s="19"/>
    </row>
  </sheetData>
  <mergeCells count="2">
    <mergeCell ref="A5:D5"/>
    <mergeCell ref="G5:J5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Dados_RTD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Escritório do Trader</dc:creator>
  <cp:keywords/>
  <dc:description/>
  <cp:lastModifiedBy>Escritório do Trader</cp:lastModifiedBy>
  <cp:revision/>
  <dcterms:created xsi:type="dcterms:W3CDTF">2026-03-09T22:23:45Z</dcterms:created>
  <dcterms:modified xsi:type="dcterms:W3CDTF">2026-05-07T22:08:37Z</dcterms:modified>
  <cp:category/>
  <cp:contentStatus/>
</cp:coreProperties>
</file>